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90" windowWidth="13440" windowHeight="9435"/>
  </bookViews>
  <sheets>
    <sheet name="page1" sheetId="8" r:id="rId1"/>
  </sheets>
  <definedNames>
    <definedName name="_xlnm.Print_Area" localSheetId="0">page1!$A$1:$H$25</definedName>
  </definedNames>
  <calcPr calcId="145621"/>
</workbook>
</file>

<file path=xl/calcChain.xml><?xml version="1.0" encoding="utf-8"?>
<calcChain xmlns="http://schemas.openxmlformats.org/spreadsheetml/2006/main">
  <c r="H17" i="8" l="1"/>
  <c r="G17" i="8"/>
  <c r="F17" i="8"/>
  <c r="H11" i="8"/>
  <c r="H24" i="8" s="1"/>
  <c r="G11" i="8"/>
  <c r="F11" i="8"/>
  <c r="F24" i="8" s="1"/>
  <c r="D24" i="8"/>
  <c r="H7" i="8"/>
  <c r="G7" i="8"/>
  <c r="G24" i="8" s="1"/>
  <c r="F7" i="8"/>
  <c r="E24" i="8"/>
</calcChain>
</file>

<file path=xl/sharedStrings.xml><?xml version="1.0" encoding="utf-8"?>
<sst xmlns="http://schemas.openxmlformats.org/spreadsheetml/2006/main" count="31" uniqueCount="31">
  <si>
    <t>Sectors</t>
  </si>
  <si>
    <t>2010-2011</t>
  </si>
  <si>
    <t>GROSS DOMESTIC PRODUCT</t>
  </si>
  <si>
    <t>AGRICULTURE</t>
  </si>
  <si>
    <t xml:space="preserve">  Agriculture</t>
  </si>
  <si>
    <t xml:space="preserve">  Livestock and  Fishery</t>
  </si>
  <si>
    <t xml:space="preserve">  Forestry</t>
  </si>
  <si>
    <t>INDUSTRY</t>
  </si>
  <si>
    <t xml:space="preserve">  Energy</t>
  </si>
  <si>
    <t xml:space="preserve">  Mining</t>
  </si>
  <si>
    <t xml:space="preserve">  Processing and  Manufacturing</t>
  </si>
  <si>
    <t xml:space="preserve">  Electric Power</t>
  </si>
  <si>
    <t xml:space="preserve">  Construction</t>
  </si>
  <si>
    <t>SERVICES</t>
  </si>
  <si>
    <t xml:space="preserve">  Transportation</t>
  </si>
  <si>
    <t xml:space="preserve">  Communications</t>
  </si>
  <si>
    <t xml:space="preserve">  Financial  Institutions</t>
  </si>
  <si>
    <t xml:space="preserve">  Social and  Administrative Services</t>
  </si>
  <si>
    <t xml:space="preserve">  Rental and Other Services</t>
  </si>
  <si>
    <t xml:space="preserve">  Trade</t>
  </si>
  <si>
    <t xml:space="preserve">TABLE 8.06   </t>
  </si>
  <si>
    <t>SHARES OF GROSS DOMESTIC PRODUCT AT CURRENT PRICES BY SECTOR OF ACTIVITY</t>
  </si>
  <si>
    <t>1 of 1</t>
  </si>
  <si>
    <t>Source : Planning Department.</t>
  </si>
  <si>
    <t>2015-2016</t>
  </si>
  <si>
    <t>2020-2021
(End of Sep)</t>
  </si>
  <si>
    <t>Years 2010/2011, 2015/2016-2020/2021, absolute values in Percent</t>
  </si>
  <si>
    <t>2018-2019
(A)</t>
  </si>
  <si>
    <t>2019-2020
(P.A)</t>
  </si>
  <si>
    <t>2017-2018
(End of Mar)</t>
  </si>
  <si>
    <t>2016-2017
(P.A)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</si>
</sst>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8" x14ac:knownFonts="1">
    <font>
      <sz val="10"/>
      <name val="Arial"/>
    </font>
    <font>
      <sz val="1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9"/>
      <name val="Arial Narrow Bold"/>
    </font>
    <font>
      <sz val="9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/>
      <bottom style="thin">
        <color rgb="FF0070C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2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Border="1"/>
    <xf numFmtId="0" fontId="2" fillId="0" borderId="0" xfId="0" applyFont="1" applyFill="1"/>
    <xf numFmtId="0" fontId="4" fillId="0" borderId="0" xfId="0" quotePrefix="1" applyFont="1" applyFill="1" applyAlignment="1">
      <alignment horizontal="right"/>
    </xf>
    <xf numFmtId="0" fontId="2" fillId="0" borderId="0" xfId="0" applyFont="1" applyAlignment="1">
      <alignment horizontal="right"/>
    </xf>
    <xf numFmtId="0" fontId="3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right" vertical="center" indent="2"/>
    </xf>
    <xf numFmtId="164" fontId="2" fillId="3" borderId="0" xfId="0" applyNumberFormat="1" applyFont="1" applyFill="1" applyAlignment="1">
      <alignment horizontal="right" vertical="center" indent="2"/>
    </xf>
    <xf numFmtId="164" fontId="3" fillId="3" borderId="0" xfId="0" applyNumberFormat="1" applyFont="1" applyFill="1" applyAlignment="1">
      <alignment horizontal="right" vertical="center" indent="2"/>
    </xf>
    <xf numFmtId="0" fontId="2" fillId="0" borderId="0" xfId="0" quotePrefix="1" applyFont="1" applyAlignment="1">
      <alignment horizontal="center"/>
    </xf>
    <xf numFmtId="0" fontId="7" fillId="0" borderId="0" xfId="0" applyFont="1" applyFill="1" applyBorder="1"/>
    <xf numFmtId="164" fontId="7" fillId="0" borderId="0" xfId="0" applyNumberFormat="1" applyFont="1" applyFill="1" applyBorder="1"/>
    <xf numFmtId="164" fontId="7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6" fillId="0" borderId="0" xfId="0" quotePrefix="1" applyFont="1" applyFill="1" applyAlignment="1">
      <alignment horizontal="left" vertical="center"/>
    </xf>
    <xf numFmtId="0" fontId="2" fillId="0" borderId="0" xfId="0" quotePrefix="1" applyFont="1" applyFill="1" applyAlignment="1">
      <alignment horizontal="left" vertical="center"/>
    </xf>
    <xf numFmtId="0" fontId="5" fillId="0" borderId="0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left" vertical="center" indent="1"/>
    </xf>
    <xf numFmtId="164" fontId="3" fillId="3" borderId="2" xfId="0" applyNumberFormat="1" applyFont="1" applyFill="1" applyBorder="1" applyAlignment="1">
      <alignment horizontal="right" vertical="center" indent="2"/>
    </xf>
    <xf numFmtId="0" fontId="3" fillId="0" borderId="0" xfId="0" applyFont="1" applyFill="1" applyAlignment="1">
      <alignment horizontal="right" vertical="center" indent="2"/>
    </xf>
    <xf numFmtId="0" fontId="2" fillId="0" borderId="0" xfId="0" applyFont="1" applyFill="1" applyAlignment="1">
      <alignment horizontal="right" vertical="center" indent="2"/>
    </xf>
    <xf numFmtId="164" fontId="2" fillId="0" borderId="0" xfId="0" applyNumberFormat="1" applyFont="1" applyFill="1" applyAlignment="1">
      <alignment horizontal="right" vertical="center" indent="2"/>
    </xf>
    <xf numFmtId="164" fontId="3" fillId="0" borderId="0" xfId="0" applyNumberFormat="1" applyFont="1" applyFill="1" applyAlignment="1">
      <alignment horizontal="right" vertical="center" indent="2"/>
    </xf>
    <xf numFmtId="164" fontId="3" fillId="0" borderId="2" xfId="0" applyNumberFormat="1" applyFont="1" applyFill="1" applyBorder="1" applyAlignment="1">
      <alignment horizontal="right" vertical="center" indent="2"/>
    </xf>
    <xf numFmtId="164" fontId="2" fillId="0" borderId="0" xfId="0" applyNumberFormat="1" applyFont="1" applyFill="1"/>
    <xf numFmtId="0" fontId="6" fillId="0" borderId="0" xfId="0" quotePrefix="1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1"/>
  <sheetViews>
    <sheetView showGridLines="0" tabSelected="1" zoomScaleNormal="100" workbookViewId="0">
      <selection activeCell="XFD1048576" sqref="XFD1048576"/>
    </sheetView>
  </sheetViews>
  <sheetFormatPr defaultColWidth="9.140625" defaultRowHeight="13.5" x14ac:dyDescent="0.25"/>
  <cols>
    <col min="1" max="1" width="24.7109375" style="13" customWidth="1"/>
    <col min="2" max="6" width="9.7109375" style="13" customWidth="1"/>
    <col min="7" max="7" width="10.7109375" style="13" customWidth="1"/>
    <col min="8" max="9" width="9.7109375" style="13" customWidth="1"/>
    <col min="10" max="16384" width="9.140625" style="13"/>
  </cols>
  <sheetData>
    <row r="1" spans="1:9" ht="15" customHeight="1" x14ac:dyDescent="0.25">
      <c r="A1" s="2"/>
      <c r="B1" s="2"/>
      <c r="C1" s="4"/>
      <c r="D1" s="4"/>
      <c r="E1" s="4"/>
      <c r="F1" s="5"/>
      <c r="G1" s="4"/>
      <c r="H1" s="16" t="s">
        <v>22</v>
      </c>
    </row>
    <row r="2" spans="1:9" ht="15" customHeight="1" x14ac:dyDescent="0.25">
      <c r="A2" s="28" t="s">
        <v>20</v>
      </c>
      <c r="B2" s="35" t="s">
        <v>21</v>
      </c>
      <c r="C2" s="35"/>
      <c r="D2" s="35"/>
      <c r="E2" s="35"/>
      <c r="F2" s="35"/>
      <c r="G2" s="35"/>
      <c r="H2" s="35"/>
      <c r="I2" s="17"/>
    </row>
    <row r="3" spans="1:9" ht="15" customHeight="1" x14ac:dyDescent="0.25">
      <c r="A3" s="12"/>
      <c r="B3" s="36" t="s">
        <v>26</v>
      </c>
      <c r="C3" s="36"/>
      <c r="D3" s="36"/>
      <c r="E3" s="36"/>
      <c r="F3" s="36"/>
      <c r="G3" s="36"/>
      <c r="H3" s="36"/>
      <c r="I3" s="18"/>
    </row>
    <row r="4" spans="1:9" ht="15" customHeight="1" x14ac:dyDescent="0.25">
      <c r="A4" s="38"/>
      <c r="B4" s="38"/>
      <c r="C4" s="38"/>
      <c r="D4" s="4"/>
      <c r="E4" s="4"/>
      <c r="F4" s="4"/>
      <c r="G4" s="4"/>
      <c r="H4" s="2"/>
      <c r="I4" s="4"/>
    </row>
    <row r="5" spans="1:9" ht="20.100000000000001" customHeight="1" x14ac:dyDescent="0.25">
      <c r="A5" s="39" t="s">
        <v>0</v>
      </c>
      <c r="B5" s="41" t="s">
        <v>1</v>
      </c>
      <c r="C5" s="37" t="s">
        <v>24</v>
      </c>
      <c r="D5" s="29" t="s">
        <v>30</v>
      </c>
      <c r="E5" s="32" t="s">
        <v>29</v>
      </c>
      <c r="F5" s="29" t="s">
        <v>27</v>
      </c>
      <c r="G5" s="32" t="s">
        <v>28</v>
      </c>
      <c r="H5" s="29" t="s">
        <v>25</v>
      </c>
    </row>
    <row r="6" spans="1:9" ht="15" customHeight="1" x14ac:dyDescent="0.25">
      <c r="A6" s="40"/>
      <c r="B6" s="30"/>
      <c r="C6" s="33"/>
      <c r="D6" s="34"/>
      <c r="E6" s="33"/>
      <c r="F6" s="34"/>
      <c r="G6" s="33"/>
      <c r="H6" s="30"/>
    </row>
    <row r="7" spans="1:9" ht="12.6" customHeight="1" x14ac:dyDescent="0.25">
      <c r="A7" s="7" t="s">
        <v>3</v>
      </c>
      <c r="B7" s="11">
        <v>36.799999999999997</v>
      </c>
      <c r="C7" s="22">
        <v>26.8</v>
      </c>
      <c r="D7" s="11">
        <v>25.5</v>
      </c>
      <c r="E7" s="25">
        <v>23.3</v>
      </c>
      <c r="F7" s="11">
        <f>SUM(F8:F10)</f>
        <v>21.3</v>
      </c>
      <c r="G7" s="22">
        <f>SUM(G8:G10)</f>
        <v>20.900000000000002</v>
      </c>
      <c r="H7" s="11">
        <f>SUM(H8:H10)</f>
        <v>22.700000000000003</v>
      </c>
    </row>
    <row r="8" spans="1:9" ht="12.6" customHeight="1" x14ac:dyDescent="0.25">
      <c r="A8" s="8" t="s">
        <v>4</v>
      </c>
      <c r="B8" s="10">
        <v>27.9</v>
      </c>
      <c r="C8" s="23">
        <v>18.5</v>
      </c>
      <c r="D8" s="10">
        <v>17.2</v>
      </c>
      <c r="E8" s="24">
        <v>15.4</v>
      </c>
      <c r="F8" s="10">
        <v>13.7</v>
      </c>
      <c r="G8" s="23">
        <v>13.1</v>
      </c>
      <c r="H8" s="10">
        <v>14</v>
      </c>
    </row>
    <row r="9" spans="1:9" ht="12.6" customHeight="1" x14ac:dyDescent="0.25">
      <c r="A9" s="8" t="s">
        <v>5</v>
      </c>
      <c r="B9" s="10">
        <v>8.5</v>
      </c>
      <c r="C9" s="24">
        <v>8.1</v>
      </c>
      <c r="D9" s="10">
        <v>8.1999999999999993</v>
      </c>
      <c r="E9" s="24">
        <v>7.8</v>
      </c>
      <c r="F9" s="10">
        <v>7.5</v>
      </c>
      <c r="G9" s="24">
        <v>7.7</v>
      </c>
      <c r="H9" s="10">
        <v>8.6</v>
      </c>
    </row>
    <row r="10" spans="1:9" ht="12.6" customHeight="1" x14ac:dyDescent="0.25">
      <c r="A10" s="8" t="s">
        <v>6</v>
      </c>
      <c r="B10" s="10">
        <v>0.4</v>
      </c>
      <c r="C10" s="23">
        <v>0.2</v>
      </c>
      <c r="D10" s="10">
        <v>0.1</v>
      </c>
      <c r="E10" s="23">
        <v>0.1</v>
      </c>
      <c r="F10" s="10">
        <v>0.1</v>
      </c>
      <c r="G10" s="23">
        <v>0.1</v>
      </c>
      <c r="H10" s="10">
        <v>0.1</v>
      </c>
    </row>
    <row r="11" spans="1:9" ht="12.6" customHeight="1" x14ac:dyDescent="0.25">
      <c r="A11" s="7" t="s">
        <v>7</v>
      </c>
      <c r="B11" s="11">
        <v>26.5</v>
      </c>
      <c r="C11" s="25">
        <v>34.5</v>
      </c>
      <c r="D11" s="11">
        <v>35</v>
      </c>
      <c r="E11" s="25">
        <v>36.299999999999997</v>
      </c>
      <c r="F11" s="11">
        <f>SUM(F12:F16)</f>
        <v>38</v>
      </c>
      <c r="G11" s="25">
        <f>SUM(G12:G16)</f>
        <v>38.6</v>
      </c>
      <c r="H11" s="11">
        <f>SUM(H12:H16)</f>
        <v>37.1</v>
      </c>
    </row>
    <row r="12" spans="1:9" ht="12.6" customHeight="1" x14ac:dyDescent="0.25">
      <c r="A12" s="8" t="s">
        <v>8</v>
      </c>
      <c r="B12" s="10">
        <v>0.2</v>
      </c>
      <c r="C12" s="24">
        <v>5.0999999999999996</v>
      </c>
      <c r="D12" s="10">
        <v>3.4</v>
      </c>
      <c r="E12" s="24">
        <v>3.8</v>
      </c>
      <c r="F12" s="10">
        <v>4.4000000000000004</v>
      </c>
      <c r="G12" s="24">
        <v>3.8</v>
      </c>
      <c r="H12" s="10">
        <v>3</v>
      </c>
    </row>
    <row r="13" spans="1:9" ht="12.6" customHeight="1" x14ac:dyDescent="0.25">
      <c r="A13" s="8" t="s">
        <v>9</v>
      </c>
      <c r="B13" s="10">
        <v>0.7</v>
      </c>
      <c r="C13" s="24">
        <v>1.1000000000000001</v>
      </c>
      <c r="D13" s="10">
        <v>1</v>
      </c>
      <c r="E13" s="24">
        <v>1</v>
      </c>
      <c r="F13" s="10">
        <v>1</v>
      </c>
      <c r="G13" s="24">
        <v>1</v>
      </c>
      <c r="H13" s="10">
        <v>0.8</v>
      </c>
      <c r="I13" s="14"/>
    </row>
    <row r="14" spans="1:9" ht="12.6" customHeight="1" x14ac:dyDescent="0.25">
      <c r="A14" s="8" t="s">
        <v>10</v>
      </c>
      <c r="B14" s="10">
        <v>19.899999999999999</v>
      </c>
      <c r="C14" s="23">
        <v>20.8</v>
      </c>
      <c r="D14" s="10">
        <v>22.8</v>
      </c>
      <c r="E14" s="23">
        <v>23.9</v>
      </c>
      <c r="F14" s="10">
        <v>24.8</v>
      </c>
      <c r="G14" s="23">
        <v>25.5</v>
      </c>
      <c r="H14" s="10">
        <v>25.6</v>
      </c>
    </row>
    <row r="15" spans="1:9" ht="12.6" customHeight="1" x14ac:dyDescent="0.25">
      <c r="A15" s="8" t="s">
        <v>11</v>
      </c>
      <c r="B15" s="9">
        <v>1.1000000000000001</v>
      </c>
      <c r="C15" s="23">
        <v>1.4</v>
      </c>
      <c r="D15" s="9">
        <v>1.4</v>
      </c>
      <c r="E15" s="23">
        <v>1.3</v>
      </c>
      <c r="F15" s="9">
        <v>1.4</v>
      </c>
      <c r="G15" s="23">
        <v>1.7</v>
      </c>
      <c r="H15" s="9">
        <v>1.6</v>
      </c>
    </row>
    <row r="16" spans="1:9" ht="12.6" customHeight="1" x14ac:dyDescent="0.25">
      <c r="A16" s="8" t="s">
        <v>12</v>
      </c>
      <c r="B16" s="10">
        <v>4.5999999999999996</v>
      </c>
      <c r="C16" s="23">
        <v>6.1</v>
      </c>
      <c r="D16" s="10">
        <v>6.4</v>
      </c>
      <c r="E16" s="23">
        <v>6.3</v>
      </c>
      <c r="F16" s="10">
        <v>6.4</v>
      </c>
      <c r="G16" s="23">
        <v>6.6</v>
      </c>
      <c r="H16" s="10">
        <v>6.1</v>
      </c>
    </row>
    <row r="17" spans="1:9" ht="12.6" customHeight="1" x14ac:dyDescent="0.25">
      <c r="A17" s="7" t="s">
        <v>13</v>
      </c>
      <c r="B17" s="11">
        <v>36.700000000000003</v>
      </c>
      <c r="C17" s="22">
        <v>38.700000000000003</v>
      </c>
      <c r="D17" s="11">
        <v>39.5</v>
      </c>
      <c r="E17" s="22">
        <v>40.4</v>
      </c>
      <c r="F17" s="11">
        <f>SUM(F18:F23)</f>
        <v>40.700000000000003</v>
      </c>
      <c r="G17" s="22">
        <f>SUM(G18:G23)</f>
        <v>40.5</v>
      </c>
      <c r="H17" s="11">
        <f>SUM(H18:H23)</f>
        <v>40.200000000000003</v>
      </c>
    </row>
    <row r="18" spans="1:9" ht="12.6" customHeight="1" x14ac:dyDescent="0.25">
      <c r="A18" s="8" t="s">
        <v>14</v>
      </c>
      <c r="B18" s="10">
        <v>11.5</v>
      </c>
      <c r="C18" s="23">
        <v>11.3</v>
      </c>
      <c r="D18" s="10">
        <v>11.2</v>
      </c>
      <c r="E18" s="23">
        <v>11.1</v>
      </c>
      <c r="F18" s="10">
        <v>11.2</v>
      </c>
      <c r="G18" s="23">
        <v>10.7</v>
      </c>
      <c r="H18" s="10">
        <v>9.9</v>
      </c>
    </row>
    <row r="19" spans="1:9" ht="12.6" customHeight="1" x14ac:dyDescent="0.25">
      <c r="A19" s="8" t="s">
        <v>15</v>
      </c>
      <c r="B19" s="10">
        <v>0.8</v>
      </c>
      <c r="C19" s="23">
        <v>2.1</v>
      </c>
      <c r="D19" s="10">
        <v>2.1</v>
      </c>
      <c r="E19" s="24">
        <v>2</v>
      </c>
      <c r="F19" s="10">
        <v>2</v>
      </c>
      <c r="G19" s="24">
        <v>2</v>
      </c>
      <c r="H19" s="10">
        <v>2.2000000000000002</v>
      </c>
    </row>
    <row r="20" spans="1:9" ht="12.6" customHeight="1" x14ac:dyDescent="0.25">
      <c r="A20" s="8" t="s">
        <v>16</v>
      </c>
      <c r="B20" s="10">
        <v>0.1</v>
      </c>
      <c r="C20" s="23">
        <v>0.2</v>
      </c>
      <c r="D20" s="10">
        <v>0.3</v>
      </c>
      <c r="E20" s="23">
        <v>0.3</v>
      </c>
      <c r="F20" s="10">
        <v>0.4</v>
      </c>
      <c r="G20" s="23">
        <v>0.4</v>
      </c>
      <c r="H20" s="10">
        <v>0.4</v>
      </c>
    </row>
    <row r="21" spans="1:9" ht="12.6" customHeight="1" x14ac:dyDescent="0.25">
      <c r="A21" s="8" t="s">
        <v>17</v>
      </c>
      <c r="B21" s="10">
        <v>2.2999999999999998</v>
      </c>
      <c r="C21" s="24">
        <v>3.7</v>
      </c>
      <c r="D21" s="10">
        <v>3.5</v>
      </c>
      <c r="E21" s="24">
        <v>3.2</v>
      </c>
      <c r="F21" s="10">
        <v>3.3</v>
      </c>
      <c r="G21" s="24">
        <v>3.2</v>
      </c>
      <c r="H21" s="10">
        <v>3.3</v>
      </c>
    </row>
    <row r="22" spans="1:9" ht="12.6" customHeight="1" x14ac:dyDescent="0.25">
      <c r="A22" s="8" t="s">
        <v>18</v>
      </c>
      <c r="B22" s="10">
        <v>1.9</v>
      </c>
      <c r="C22" s="23">
        <v>2.5</v>
      </c>
      <c r="D22" s="10">
        <v>2.7</v>
      </c>
      <c r="E22" s="24">
        <v>3</v>
      </c>
      <c r="F22" s="10">
        <v>3.2</v>
      </c>
      <c r="G22" s="23">
        <v>3.2</v>
      </c>
      <c r="H22" s="10">
        <v>3.1</v>
      </c>
    </row>
    <row r="23" spans="1:9" ht="12.6" customHeight="1" x14ac:dyDescent="0.25">
      <c r="A23" s="8" t="s">
        <v>19</v>
      </c>
      <c r="B23" s="10">
        <v>20.100000000000001</v>
      </c>
      <c r="C23" s="23">
        <v>18.899999999999999</v>
      </c>
      <c r="D23" s="10">
        <v>19.7</v>
      </c>
      <c r="E23" s="23">
        <v>20.8</v>
      </c>
      <c r="F23" s="10">
        <v>20.6</v>
      </c>
      <c r="G23" s="24">
        <v>21</v>
      </c>
      <c r="H23" s="10">
        <v>21.3</v>
      </c>
    </row>
    <row r="24" spans="1:9" ht="18.600000000000001" customHeight="1" x14ac:dyDescent="0.25">
      <c r="A24" s="20" t="s">
        <v>2</v>
      </c>
      <c r="B24" s="21">
        <v>100</v>
      </c>
      <c r="C24" s="26">
        <v>100</v>
      </c>
      <c r="D24" s="21">
        <f>D7+D11+D17</f>
        <v>100</v>
      </c>
      <c r="E24" s="26">
        <f>E7+E11+E17</f>
        <v>100</v>
      </c>
      <c r="F24" s="21">
        <f>F7+F11+F17</f>
        <v>100</v>
      </c>
      <c r="G24" s="26">
        <f>G7+G11+G17</f>
        <v>100</v>
      </c>
      <c r="H24" s="21">
        <f>H7+H11+H17</f>
        <v>100</v>
      </c>
    </row>
    <row r="25" spans="1:9" ht="15" customHeight="1" x14ac:dyDescent="0.25">
      <c r="A25" s="3"/>
      <c r="B25" s="1"/>
      <c r="C25" s="27"/>
      <c r="D25" s="4"/>
      <c r="E25" s="31"/>
      <c r="F25" s="31"/>
      <c r="H25" s="6" t="s">
        <v>23</v>
      </c>
      <c r="I25" s="19"/>
    </row>
    <row r="26" spans="1:9" ht="15" customHeight="1" x14ac:dyDescent="0.25">
      <c r="B26" s="14"/>
      <c r="C26" s="14"/>
    </row>
    <row r="27" spans="1:9" ht="15" customHeight="1" x14ac:dyDescent="0.25">
      <c r="B27" s="15"/>
      <c r="C27" s="14"/>
    </row>
    <row r="28" spans="1:9" ht="15" customHeight="1" x14ac:dyDescent="0.25">
      <c r="B28" s="14"/>
      <c r="C28" s="14"/>
    </row>
    <row r="29" spans="1:9" ht="15" customHeight="1" x14ac:dyDescent="0.25">
      <c r="B29" s="14"/>
      <c r="C29" s="14"/>
    </row>
    <row r="30" spans="1:9" ht="15" customHeight="1" x14ac:dyDescent="0.25">
      <c r="B30" s="15"/>
      <c r="C30" s="14"/>
    </row>
    <row r="31" spans="1:9" ht="15" customHeight="1" x14ac:dyDescent="0.25">
      <c r="B31" s="15"/>
      <c r="C31" s="15"/>
    </row>
    <row r="32" spans="1:9" ht="15" customHeight="1" x14ac:dyDescent="0.25">
      <c r="B32" s="15"/>
      <c r="C32" s="15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mergeCells count="12">
    <mergeCell ref="H5:H6"/>
    <mergeCell ref="E25:F25"/>
    <mergeCell ref="G5:G6"/>
    <mergeCell ref="D5:D6"/>
    <mergeCell ref="B2:H2"/>
    <mergeCell ref="B3:H3"/>
    <mergeCell ref="C5:C6"/>
    <mergeCell ref="A4:C4"/>
    <mergeCell ref="A5:A6"/>
    <mergeCell ref="B5:B6"/>
    <mergeCell ref="F5:F6"/>
    <mergeCell ref="E5:E6"/>
  </mergeCells>
  <pageMargins left="0.75" right="0" top="1" bottom="0.25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page1</vt:lpstr>
      <vt:lpstr>page1!Print_Area</vt:lpstr>
    </vt:vector>
  </TitlesOfParts>
  <Company>MWD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MWD</dc:creator>
  <cp:lastModifiedBy>EDMS</cp:lastModifiedBy>
  <cp:lastPrinted>2022-11-01T09:51:35Z</cp:lastPrinted>
  <dcterms:created xsi:type="dcterms:W3CDTF">1998-12-08T07:05:40Z</dcterms:created>
  <dcterms:modified xsi:type="dcterms:W3CDTF">2022-11-02T08:59:06Z</dcterms:modified>
</cp:coreProperties>
</file>