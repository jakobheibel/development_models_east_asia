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suha.abudia\Desktop\"/>
    </mc:Choice>
  </mc:AlternateContent>
  <xr:revisionPtr revIDLastSave="0" documentId="13_ncr:1_{A23133D0-6EC1-40B7-8C04-3EE776ED76C3}" xr6:coauthVersionLast="47" xr6:coauthVersionMax="47" xr10:uidLastSave="{00000000-0000-0000-0000-000000000000}"/>
  <bookViews>
    <workbookView xWindow="-120" yWindow="-120" windowWidth="29040" windowHeight="15720" tabRatio="829" xr2:uid="{00000000-000D-0000-FFFF-FFFF00000000}"/>
  </bookViews>
  <sheets>
    <sheet name="الفهرس Index" sheetId="60" r:id="rId1"/>
    <sheet name="البيانات الوصفيةMetadata" sheetId="77" r:id="rId2"/>
    <sheet name="1-4" sheetId="6" r:id="rId3"/>
    <sheet name="5-8" sheetId="28" r:id="rId4"/>
    <sheet name="9-12" sheetId="38" r:id="rId5"/>
    <sheet name="13-16" sheetId="74" r:id="rId6"/>
    <sheet name="17-24" sheetId="12" r:id="rId7"/>
    <sheet name="25-26" sheetId="63" r:id="rId8"/>
    <sheet name="27-28" sheetId="75" r:id="rId9"/>
    <sheet name="29-33" sheetId="59" r:id="rId10"/>
    <sheet name="34-36" sheetId="30" r:id="rId11"/>
    <sheet name="37-39" sheetId="76" r:id="rId12"/>
  </sheets>
  <definedNames>
    <definedName name="_xlnm.Print_Area" localSheetId="5">'13-16'!$A$1:$AG$61</definedName>
    <definedName name="_xlnm.Print_Area" localSheetId="2">'1-4'!$A$1:$AA$113</definedName>
    <definedName name="_xlnm.Print_Area" localSheetId="6">'17-24'!$A$1:$S$224</definedName>
    <definedName name="_xlnm.Print_Area" localSheetId="7">'25-26'!$A$1:$AB$40</definedName>
    <definedName name="_xlnm.Print_Area" localSheetId="8">'27-28'!$A$1:$AA$36</definedName>
    <definedName name="_xlnm.Print_Area" localSheetId="9">'29-33'!$A$1:$AQ$122</definedName>
    <definedName name="_xlnm.Print_Area" localSheetId="10">'34-36'!$A$1:$AL$40</definedName>
    <definedName name="_xlnm.Print_Area" localSheetId="11">'37-39'!$A$1:$AD$42</definedName>
    <definedName name="_xlnm.Print_Area" localSheetId="3">'5-8'!$A$1:$R$114</definedName>
    <definedName name="_xlnm.Print_Area" localSheetId="4">'9-12'!$A$1:$AG$77</definedName>
    <definedName name="_xlnm.Print_Area" localSheetId="1">'البيانات الوصفيةMetadata'!$A$1:$X$45</definedName>
    <definedName name="_xlnm.Print_Area" localSheetId="0">'الفهرس Index'!$A$1:$AA$4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7" i="12" l="1"/>
  <c r="E147" i="12"/>
  <c r="F147" i="12"/>
  <c r="F164" i="12" s="1"/>
  <c r="F165" i="12" s="1"/>
  <c r="G147" i="12"/>
  <c r="H147" i="12"/>
  <c r="I147" i="12"/>
  <c r="J147" i="12"/>
  <c r="J164" i="12" s="1"/>
  <c r="J165" i="12" s="1"/>
  <c r="K147" i="12"/>
  <c r="L147" i="12"/>
  <c r="M147" i="12"/>
  <c r="N147" i="12"/>
  <c r="O147" i="12"/>
  <c r="P147" i="12"/>
  <c r="Q147" i="12"/>
  <c r="D148" i="12"/>
  <c r="E148" i="12"/>
  <c r="F148" i="12"/>
  <c r="G148" i="12"/>
  <c r="H148" i="12"/>
  <c r="I148" i="12"/>
  <c r="J148" i="12"/>
  <c r="K148" i="12"/>
  <c r="L148" i="12"/>
  <c r="M148" i="12"/>
  <c r="N148" i="12"/>
  <c r="O148" i="12"/>
  <c r="P148" i="12"/>
  <c r="Q148" i="12"/>
  <c r="D149" i="12"/>
  <c r="E149" i="12"/>
  <c r="F149" i="12"/>
  <c r="G149" i="12"/>
  <c r="H149" i="12"/>
  <c r="I149" i="12"/>
  <c r="J149" i="12"/>
  <c r="K149" i="12"/>
  <c r="L149" i="12"/>
  <c r="M149" i="12"/>
  <c r="N149" i="12"/>
  <c r="O149" i="12"/>
  <c r="P149" i="12"/>
  <c r="Q149" i="12"/>
  <c r="D150" i="12"/>
  <c r="E150" i="12"/>
  <c r="F150" i="12"/>
  <c r="G150" i="12"/>
  <c r="H150" i="12"/>
  <c r="I150" i="12"/>
  <c r="J150" i="12"/>
  <c r="K150" i="12"/>
  <c r="L150" i="12"/>
  <c r="M150" i="12"/>
  <c r="N150" i="12"/>
  <c r="O150" i="12"/>
  <c r="P150" i="12"/>
  <c r="Q150" i="12"/>
  <c r="D151" i="12"/>
  <c r="E151" i="12"/>
  <c r="F151" i="12"/>
  <c r="G151" i="12"/>
  <c r="H151" i="12"/>
  <c r="I151" i="12"/>
  <c r="J151" i="12"/>
  <c r="K151" i="12"/>
  <c r="L151" i="12"/>
  <c r="M151" i="12"/>
  <c r="N151" i="12"/>
  <c r="O151" i="12"/>
  <c r="P151" i="12"/>
  <c r="Q151" i="12"/>
  <c r="D152" i="12"/>
  <c r="E152" i="12"/>
  <c r="F152" i="12"/>
  <c r="G152" i="12"/>
  <c r="H152" i="12"/>
  <c r="I152" i="12"/>
  <c r="J152" i="12"/>
  <c r="K152" i="12"/>
  <c r="L152" i="12"/>
  <c r="M152" i="12"/>
  <c r="N152" i="12"/>
  <c r="O152" i="12"/>
  <c r="P152" i="12"/>
  <c r="Q152" i="12"/>
  <c r="D153" i="12"/>
  <c r="E153" i="12"/>
  <c r="F153" i="12"/>
  <c r="G153" i="12"/>
  <c r="H153" i="12"/>
  <c r="I153" i="12"/>
  <c r="J153" i="12"/>
  <c r="K153" i="12"/>
  <c r="L153" i="12"/>
  <c r="M153" i="12"/>
  <c r="N153" i="12"/>
  <c r="O153" i="12"/>
  <c r="P153" i="12"/>
  <c r="Q153" i="12"/>
  <c r="D154" i="12"/>
  <c r="E154" i="12"/>
  <c r="F154" i="12"/>
  <c r="G154" i="12"/>
  <c r="H154" i="12"/>
  <c r="I154" i="12"/>
  <c r="J154" i="12"/>
  <c r="K154" i="12"/>
  <c r="L154" i="12"/>
  <c r="M154" i="12"/>
  <c r="N154" i="12"/>
  <c r="O154" i="12"/>
  <c r="P154" i="12"/>
  <c r="Q154" i="12"/>
  <c r="D155" i="12"/>
  <c r="E155" i="12"/>
  <c r="F155" i="12"/>
  <c r="G155" i="12"/>
  <c r="H155" i="12"/>
  <c r="I155" i="12"/>
  <c r="J155" i="12"/>
  <c r="K155" i="12"/>
  <c r="L155" i="12"/>
  <c r="M155" i="12"/>
  <c r="N155" i="12"/>
  <c r="O155" i="12"/>
  <c r="P155" i="12"/>
  <c r="Q155" i="12"/>
  <c r="D156" i="12"/>
  <c r="E156" i="12"/>
  <c r="F156" i="12"/>
  <c r="G156" i="12"/>
  <c r="H156" i="12"/>
  <c r="I156" i="12"/>
  <c r="J156" i="12"/>
  <c r="K156" i="12"/>
  <c r="L156" i="12"/>
  <c r="M156" i="12"/>
  <c r="N156" i="12"/>
  <c r="O156" i="12"/>
  <c r="P156" i="12"/>
  <c r="Q156" i="12"/>
  <c r="D157" i="12"/>
  <c r="E157" i="12"/>
  <c r="F157" i="12"/>
  <c r="G157" i="12"/>
  <c r="H157" i="12"/>
  <c r="I157" i="12"/>
  <c r="J157" i="12"/>
  <c r="K157" i="12"/>
  <c r="L157" i="12"/>
  <c r="M157" i="12"/>
  <c r="N157" i="12"/>
  <c r="O157" i="12"/>
  <c r="P157" i="12"/>
  <c r="Q157" i="12"/>
  <c r="D158" i="12"/>
  <c r="E158" i="12"/>
  <c r="F158" i="12"/>
  <c r="G158" i="12"/>
  <c r="H158" i="12"/>
  <c r="I158" i="12"/>
  <c r="J158" i="12"/>
  <c r="K158" i="12"/>
  <c r="L158" i="12"/>
  <c r="M158" i="12"/>
  <c r="N158" i="12"/>
  <c r="O158" i="12"/>
  <c r="P158" i="12"/>
  <c r="Q158" i="12"/>
  <c r="D159" i="12"/>
  <c r="E159" i="12"/>
  <c r="F159" i="12"/>
  <c r="G159" i="12"/>
  <c r="H159" i="12"/>
  <c r="I159" i="12"/>
  <c r="J159" i="12"/>
  <c r="K159" i="12"/>
  <c r="L159" i="12"/>
  <c r="M159" i="12"/>
  <c r="N159" i="12"/>
  <c r="O159" i="12"/>
  <c r="P159" i="12"/>
  <c r="Q159" i="12"/>
  <c r="D160" i="12"/>
  <c r="E160" i="12"/>
  <c r="F160" i="12"/>
  <c r="G160" i="12"/>
  <c r="H160" i="12"/>
  <c r="I160" i="12"/>
  <c r="J160" i="12"/>
  <c r="K160" i="12"/>
  <c r="L160" i="12"/>
  <c r="M160" i="12"/>
  <c r="N160" i="12"/>
  <c r="O160" i="12"/>
  <c r="P160" i="12"/>
  <c r="Q160" i="12"/>
  <c r="D161" i="12"/>
  <c r="E161" i="12"/>
  <c r="F161" i="12"/>
  <c r="G161" i="12"/>
  <c r="H161" i="12"/>
  <c r="I161" i="12"/>
  <c r="J161" i="12"/>
  <c r="K161" i="12"/>
  <c r="L161" i="12"/>
  <c r="M161" i="12"/>
  <c r="N161" i="12"/>
  <c r="O161" i="12"/>
  <c r="P161" i="12"/>
  <c r="Q161" i="12"/>
  <c r="D162" i="12"/>
  <c r="E162" i="12"/>
  <c r="F162" i="12"/>
  <c r="G162" i="12"/>
  <c r="H162" i="12"/>
  <c r="I162" i="12"/>
  <c r="J162" i="12"/>
  <c r="K162" i="12"/>
  <c r="L162" i="12"/>
  <c r="M162" i="12"/>
  <c r="N162" i="12"/>
  <c r="O162" i="12"/>
  <c r="P162" i="12"/>
  <c r="Q162" i="12"/>
  <c r="D163" i="12"/>
  <c r="E163" i="12"/>
  <c r="F163" i="12"/>
  <c r="G163" i="12"/>
  <c r="H163" i="12"/>
  <c r="I163" i="12"/>
  <c r="J163" i="12"/>
  <c r="K163" i="12"/>
  <c r="L163" i="12"/>
  <c r="M163" i="12"/>
  <c r="N163" i="12"/>
  <c r="O163" i="12"/>
  <c r="P163" i="12"/>
  <c r="Q163" i="12"/>
  <c r="Q52" i="12"/>
  <c r="P52" i="12"/>
  <c r="O52" i="12"/>
  <c r="N52" i="12"/>
  <c r="M52" i="12"/>
  <c r="L52" i="12"/>
  <c r="K52" i="12"/>
  <c r="J52" i="12"/>
  <c r="I52" i="12"/>
  <c r="H52" i="12"/>
  <c r="G52" i="12"/>
  <c r="F52" i="12"/>
  <c r="E52" i="12"/>
  <c r="D52" i="12"/>
  <c r="Q34" i="12"/>
  <c r="Q146" i="12" s="1"/>
  <c r="P34" i="12"/>
  <c r="P146" i="12" s="1"/>
  <c r="O34" i="12"/>
  <c r="O146" i="12" s="1"/>
  <c r="N34" i="12"/>
  <c r="N146" i="12" s="1"/>
  <c r="M34" i="12"/>
  <c r="M146" i="12" s="1"/>
  <c r="L34" i="12"/>
  <c r="L146" i="12" s="1"/>
  <c r="K34" i="12"/>
  <c r="K146" i="12" s="1"/>
  <c r="J34" i="12"/>
  <c r="J146" i="12" s="1"/>
  <c r="I34" i="12"/>
  <c r="I146" i="12" s="1"/>
  <c r="H34" i="12"/>
  <c r="H146" i="12" s="1"/>
  <c r="G34" i="12"/>
  <c r="G146" i="12" s="1"/>
  <c r="F34" i="12"/>
  <c r="F146" i="12" s="1"/>
  <c r="E34" i="12"/>
  <c r="E146" i="12" s="1"/>
  <c r="D34" i="12"/>
  <c r="D146" i="12" s="1"/>
  <c r="N164" i="12" l="1"/>
  <c r="N165" i="12" s="1"/>
  <c r="L164" i="12"/>
  <c r="D164" i="12"/>
  <c r="D165" i="12" s="1"/>
  <c r="M164" i="12"/>
  <c r="M165" i="12" s="1"/>
  <c r="E164" i="12"/>
  <c r="E165" i="12" s="1"/>
  <c r="K164" i="12"/>
  <c r="K165" i="12" s="1"/>
  <c r="Q164" i="12"/>
  <c r="Q165" i="12" s="1"/>
  <c r="I164" i="12"/>
  <c r="I165" i="12" s="1"/>
  <c r="P164" i="12"/>
  <c r="P165" i="12" s="1"/>
  <c r="H164" i="12"/>
  <c r="H165" i="12" s="1"/>
  <c r="O164" i="12"/>
  <c r="O165" i="12" s="1"/>
  <c r="G164" i="12"/>
  <c r="G165" i="12" s="1"/>
  <c r="L165" i="12"/>
  <c r="P53" i="12"/>
  <c r="F53" i="12"/>
  <c r="N53" i="12"/>
  <c r="G53" i="12"/>
  <c r="O53" i="12"/>
  <c r="I53" i="12"/>
  <c r="J53" i="12"/>
  <c r="H53" i="12"/>
  <c r="K53" i="12"/>
  <c r="D53" i="12"/>
  <c r="L53" i="12"/>
  <c r="Q53" i="12"/>
  <c r="E53" i="12"/>
  <c r="M53" i="12"/>
  <c r="E108" i="12" l="1"/>
  <c r="F108" i="12"/>
  <c r="G108" i="12"/>
  <c r="H108" i="12"/>
  <c r="I108" i="12"/>
  <c r="J108" i="12"/>
  <c r="K108" i="12"/>
  <c r="L108" i="12"/>
  <c r="M108" i="12"/>
  <c r="N108" i="12"/>
  <c r="O108" i="12"/>
  <c r="P108" i="12"/>
  <c r="Q108" i="12"/>
  <c r="E90" i="12"/>
  <c r="F90" i="12"/>
  <c r="G90" i="12"/>
  <c r="H90" i="12"/>
  <c r="I90" i="12"/>
  <c r="J90" i="12"/>
  <c r="K90" i="12"/>
  <c r="L90" i="12"/>
  <c r="M90" i="12"/>
  <c r="N90" i="12"/>
  <c r="O90" i="12"/>
  <c r="P90" i="12"/>
  <c r="Q90" i="12"/>
  <c r="D108" i="12"/>
  <c r="D90" i="12"/>
  <c r="E62" i="12"/>
  <c r="F62" i="12"/>
  <c r="G62" i="12"/>
  <c r="H62" i="12"/>
  <c r="I62" i="12"/>
  <c r="J62" i="12"/>
  <c r="K62" i="12"/>
  <c r="L62" i="12"/>
  <c r="M62" i="12"/>
  <c r="N62" i="12"/>
  <c r="O62" i="12"/>
  <c r="P62" i="12"/>
  <c r="Q62" i="12"/>
  <c r="E80" i="12"/>
  <c r="F80" i="12"/>
  <c r="G80" i="12"/>
  <c r="H80" i="12"/>
  <c r="I80" i="12"/>
  <c r="J80" i="12"/>
  <c r="K80" i="12"/>
  <c r="L80" i="12"/>
  <c r="M80" i="12"/>
  <c r="N80" i="12"/>
  <c r="O80" i="12"/>
  <c r="P80" i="12"/>
  <c r="Q80" i="12"/>
  <c r="D80" i="12"/>
  <c r="D62" i="12"/>
  <c r="E24" i="12"/>
  <c r="F24" i="12"/>
  <c r="G24" i="12"/>
  <c r="H24" i="12"/>
  <c r="I24" i="12"/>
  <c r="J24" i="12"/>
  <c r="K24" i="12"/>
  <c r="L24" i="12"/>
  <c r="M24" i="12"/>
  <c r="N24" i="12"/>
  <c r="O24" i="12"/>
  <c r="P24" i="12"/>
  <c r="Q24" i="12"/>
  <c r="D24" i="12"/>
  <c r="E6" i="12"/>
  <c r="F6" i="12"/>
  <c r="G6" i="12"/>
  <c r="H6" i="12"/>
  <c r="I6" i="12"/>
  <c r="J6" i="12"/>
  <c r="K6" i="12"/>
  <c r="L6" i="12"/>
  <c r="M6" i="12"/>
  <c r="N6" i="12"/>
  <c r="O6" i="12"/>
  <c r="P6" i="12"/>
  <c r="Q6" i="12"/>
  <c r="D6" i="12"/>
  <c r="K109" i="12" l="1"/>
  <c r="J109" i="12"/>
  <c r="I109" i="12"/>
  <c r="P109" i="12"/>
  <c r="D109" i="12"/>
  <c r="O109" i="12"/>
  <c r="G109" i="12"/>
  <c r="Q109" i="12"/>
  <c r="F109" i="12"/>
  <c r="N109" i="12"/>
  <c r="M109" i="12"/>
  <c r="O81" i="12"/>
  <c r="E109" i="12"/>
  <c r="N81" i="12"/>
  <c r="G81" i="12"/>
  <c r="L109" i="12"/>
  <c r="H25" i="12"/>
  <c r="F81" i="12"/>
  <c r="H109" i="12"/>
  <c r="N25" i="12"/>
  <c r="F25" i="12"/>
  <c r="L81" i="12"/>
  <c r="D25" i="12"/>
  <c r="M25" i="12"/>
  <c r="E25" i="12"/>
  <c r="K81" i="12"/>
  <c r="P25" i="12"/>
  <c r="L25" i="12"/>
  <c r="E81" i="12"/>
  <c r="J81" i="12"/>
  <c r="O25" i="12"/>
  <c r="K25" i="12"/>
  <c r="D81" i="12"/>
  <c r="I81" i="12"/>
  <c r="G25" i="12"/>
  <c r="J25" i="12"/>
  <c r="Q81" i="12"/>
  <c r="P81" i="12"/>
  <c r="H81" i="12"/>
  <c r="M81" i="12"/>
  <c r="Q25" i="12"/>
  <c r="I25" i="12"/>
</calcChain>
</file>

<file path=xl/sharedStrings.xml><?xml version="1.0" encoding="utf-8"?>
<sst xmlns="http://schemas.openxmlformats.org/spreadsheetml/2006/main" count="2584" uniqueCount="553">
  <si>
    <t>المجموع</t>
  </si>
  <si>
    <t xml:space="preserve">المتغيرات الاقتصادية </t>
  </si>
  <si>
    <t>المؤشـــــرات</t>
  </si>
  <si>
    <t>تعويضات العاملين</t>
  </si>
  <si>
    <t>الدخل المتاح للتصرف فيه</t>
  </si>
  <si>
    <t>إيرادات أخرى</t>
  </si>
  <si>
    <t>إجمالي الإيرادات</t>
  </si>
  <si>
    <t>إجمالي النفقات</t>
  </si>
  <si>
    <t>البيــــــان</t>
  </si>
  <si>
    <t>الإيرادات العامة</t>
  </si>
  <si>
    <t>Total Revenues</t>
  </si>
  <si>
    <t>النفقات العامة</t>
  </si>
  <si>
    <t>البيــــــــان</t>
  </si>
  <si>
    <t>الصناعات التحويلية</t>
  </si>
  <si>
    <t>التشييد والبناء</t>
  </si>
  <si>
    <t xml:space="preserve">الصادرات من السلع والخدمات: </t>
  </si>
  <si>
    <t>الناتج المحلي الإجمالي</t>
  </si>
  <si>
    <t>Economic Variables</t>
  </si>
  <si>
    <t>Indicators</t>
  </si>
  <si>
    <t>Total</t>
  </si>
  <si>
    <t>Gross Domestic Product</t>
  </si>
  <si>
    <t>Total Expenditure</t>
  </si>
  <si>
    <t>Item</t>
  </si>
  <si>
    <t>الرمز</t>
  </si>
  <si>
    <t>المعاملة</t>
  </si>
  <si>
    <t>المورد     Resources</t>
  </si>
  <si>
    <t>الاستخدام    Uses</t>
  </si>
  <si>
    <t>Transaction</t>
  </si>
  <si>
    <t>P.1</t>
  </si>
  <si>
    <t>المخرجات  بسعر المنتج</t>
  </si>
  <si>
    <t>Output</t>
  </si>
  <si>
    <t>P.2</t>
  </si>
  <si>
    <t>الاستهلاك الوسيط</t>
  </si>
  <si>
    <t>P.3</t>
  </si>
  <si>
    <t>P.6</t>
  </si>
  <si>
    <t>Exports of goods and services</t>
  </si>
  <si>
    <t>P.61</t>
  </si>
  <si>
    <t>P.62</t>
  </si>
  <si>
    <t>P.7</t>
  </si>
  <si>
    <t>P.71</t>
  </si>
  <si>
    <t>P.72</t>
  </si>
  <si>
    <t>ناقصا : الواردات من السلع والخدمات :</t>
  </si>
  <si>
    <t>Less : Imports of Goods And Services :</t>
  </si>
  <si>
    <t xml:space="preserve">   قطاع المشروعات غير المالية</t>
  </si>
  <si>
    <t>Non-Financial Corporations</t>
  </si>
  <si>
    <t>الزراعة والحراجة وصيد الأسماك</t>
  </si>
  <si>
    <t>الصناعات الاستخراجية (تشمل  النفط الخام والغاز الطبيعي)</t>
  </si>
  <si>
    <t>Manufacturing</t>
  </si>
  <si>
    <t>الكهرباء والغاز والمياه وأنشطة إدارة النفايات</t>
  </si>
  <si>
    <t>Construction</t>
  </si>
  <si>
    <t>تجارة الجملة والتجزئة؛ إصلاح المركبات ذات المحركات والدراجات النارية</t>
  </si>
  <si>
    <t>النقل والتخزين</t>
  </si>
  <si>
    <t>أنشطة الإقامة والخدمات الغذائية</t>
  </si>
  <si>
    <t>المعلومات والاتصالات</t>
  </si>
  <si>
    <t>الأنشطة المالية وأنشطة التأمين</t>
  </si>
  <si>
    <t>Financial and insurance activities</t>
  </si>
  <si>
    <t>الأنشطة العقارية</t>
  </si>
  <si>
    <t>الإدارة العامة والدفاع؛ الضمان الاجتماعي الإجباري</t>
  </si>
  <si>
    <t>التعليم</t>
  </si>
  <si>
    <t>Education</t>
  </si>
  <si>
    <t>أنشطة الصحة البشرية والخدمة الاجتماعية</t>
  </si>
  <si>
    <t>الفنون والترفية والترويح وأنشطة الخدمات الأخرى</t>
  </si>
  <si>
    <t>إجمالي غير النفطي  </t>
  </si>
  <si>
    <t>Total Non-oil</t>
  </si>
  <si>
    <t>الإنفــــــاق</t>
  </si>
  <si>
    <t>EXPENDITURE</t>
  </si>
  <si>
    <t>تعويضات المشتغلين</t>
  </si>
  <si>
    <t>ISIC4</t>
  </si>
  <si>
    <t>A</t>
  </si>
  <si>
    <t>B</t>
  </si>
  <si>
    <t>C</t>
  </si>
  <si>
    <t>DE</t>
  </si>
  <si>
    <t>F</t>
  </si>
  <si>
    <t>G</t>
  </si>
  <si>
    <t>H</t>
  </si>
  <si>
    <t>I</t>
  </si>
  <si>
    <t>J</t>
  </si>
  <si>
    <t>K</t>
  </si>
  <si>
    <t>L</t>
  </si>
  <si>
    <t>O</t>
  </si>
  <si>
    <t>P</t>
  </si>
  <si>
    <t>Q</t>
  </si>
  <si>
    <t>RS</t>
  </si>
  <si>
    <t>T</t>
  </si>
  <si>
    <t>السكان ( ألف نسمة )</t>
  </si>
  <si>
    <t xml:space="preserve">الناتج المحلي الإجمالي </t>
  </si>
  <si>
    <t xml:space="preserve">السكان </t>
  </si>
  <si>
    <t>حجم الأجور ( تعويضات المشتغلين )</t>
  </si>
  <si>
    <t xml:space="preserve">Gross Domestic Product </t>
  </si>
  <si>
    <t xml:space="preserve">Gross National Income </t>
  </si>
  <si>
    <t xml:space="preserve">Net National Income    </t>
  </si>
  <si>
    <t>Total Exports</t>
  </si>
  <si>
    <t xml:space="preserve">Total Imports </t>
  </si>
  <si>
    <t xml:space="preserve">Population   </t>
  </si>
  <si>
    <t>Wages And Salaries</t>
  </si>
  <si>
    <t>Exports of Goods &amp; Services (fob):</t>
  </si>
  <si>
    <t>Imports of Goods &amp; Services (cif):</t>
  </si>
  <si>
    <t xml:space="preserve">إجمالي الواردات من السلع والخدمات: </t>
  </si>
  <si>
    <t xml:space="preserve">إجمالي الصادرات من السلع والخدمات: </t>
  </si>
  <si>
    <t>Final Consumption Expenditure :</t>
  </si>
  <si>
    <t>الإنفاق الإستهلاكي النهائي  :</t>
  </si>
  <si>
    <t>Export of Goods And Services :</t>
  </si>
  <si>
    <t>قطاع المشروعات غير المالية</t>
  </si>
  <si>
    <t>Exports of Services</t>
  </si>
  <si>
    <t>Imports of Services</t>
  </si>
  <si>
    <t>مستوردات السلع والخدمات:</t>
  </si>
  <si>
    <t>مستوردات الخدمات</t>
  </si>
  <si>
    <t>صادرات الخدمات</t>
  </si>
  <si>
    <t>صادرات السلع</t>
  </si>
  <si>
    <t>صادرات السلع والخدمات:</t>
  </si>
  <si>
    <t>اجمالي تكوين راس المال:</t>
  </si>
  <si>
    <t>مستوردات السلع (فوب)</t>
  </si>
  <si>
    <t>Compensation of Employees</t>
  </si>
  <si>
    <t>الفائض / العجز</t>
  </si>
  <si>
    <t>أنشطة الأسرالمعيشية كصاحب عمل</t>
  </si>
  <si>
    <t xml:space="preserve">- لا ينطبق </t>
  </si>
  <si>
    <t>-</t>
  </si>
  <si>
    <t>القطاعات/ الأنشطة الاقتصادية</t>
  </si>
  <si>
    <t>Economic Sectors/ Activities</t>
  </si>
  <si>
    <t>Intermediate Consumption</t>
  </si>
  <si>
    <t xml:space="preserve">Exports of Goods </t>
  </si>
  <si>
    <t>Imports of Goods and Services</t>
  </si>
  <si>
    <t>Imports of Goods (FOB)</t>
  </si>
  <si>
    <t>Agriculture,Forestry and Fishing</t>
  </si>
  <si>
    <t>Mining and Quarrying (includes crude oil and natural gas)</t>
  </si>
  <si>
    <t>Electricity, gas, and Water Supply; Waste Management Activities</t>
  </si>
  <si>
    <t>Wholesale and Retail Trade; Repair of Motor Vehicles and Motorcycles</t>
  </si>
  <si>
    <t>Transportation and Storage</t>
  </si>
  <si>
    <t>Accommodation and Food Service Activities</t>
  </si>
  <si>
    <t>Information and Communication</t>
  </si>
  <si>
    <t>Real Estate Activities</t>
  </si>
  <si>
    <t>Public Administration and Defence; Compulsory Social Security</t>
  </si>
  <si>
    <t>Human Health and Social work Activities</t>
  </si>
  <si>
    <t>Arts,Recreation and Other Service Activities</t>
  </si>
  <si>
    <t>Activities of Households as Employers</t>
  </si>
  <si>
    <t>- Not applicable</t>
  </si>
  <si>
    <t xml:space="preserve">الدخل القومي الإجمالي                         </t>
  </si>
  <si>
    <t>Sources</t>
  </si>
  <si>
    <t>مصادر البيانات</t>
  </si>
  <si>
    <t>الوحدة/ القسم</t>
  </si>
  <si>
    <t>رقم الهاتف</t>
  </si>
  <si>
    <t>البريد الإلكتروني</t>
  </si>
  <si>
    <t>خصائص وجمع البيانات</t>
  </si>
  <si>
    <t>Periodicity</t>
  </si>
  <si>
    <t>الدورية</t>
  </si>
  <si>
    <t>Reference period</t>
  </si>
  <si>
    <t>السنة (الفترة) المرجعية</t>
  </si>
  <si>
    <t>المجتمع المستهدف ونطاق البيانات</t>
  </si>
  <si>
    <t>المجتمع المستهدف</t>
  </si>
  <si>
    <t>التغطية الجغرافية</t>
  </si>
  <si>
    <t>التغطية القطاعية</t>
  </si>
  <si>
    <t>2018*</t>
  </si>
  <si>
    <t xml:space="preserve">1- بيانات 2018 أولية.  </t>
  </si>
  <si>
    <t>الدخل القومي الإجمالي</t>
  </si>
  <si>
    <t>Population (Thousands)</t>
  </si>
  <si>
    <t xml:space="preserve">إجمالي تكوين رأس المال </t>
  </si>
  <si>
    <t>Fixed Capital Formation</t>
  </si>
  <si>
    <t xml:space="preserve">تكوين رأس المال الثابت  </t>
  </si>
  <si>
    <t>Email</t>
  </si>
  <si>
    <t xml:space="preserve">التاريخ </t>
  </si>
  <si>
    <t xml:space="preserve">Date </t>
  </si>
  <si>
    <t>Target Community &amp; Coverage of the data</t>
  </si>
  <si>
    <t>Geographic Coverage</t>
  </si>
  <si>
    <t>Sector Coverage</t>
  </si>
  <si>
    <t>نظام الحسابات القومية 2008-1993 و ISIC4</t>
  </si>
  <si>
    <t>Yearly</t>
  </si>
  <si>
    <t xml:space="preserve">    إجمالي الصادرات السلعية (فوب) </t>
  </si>
  <si>
    <t xml:space="preserve">    الصادرات الخدمية</t>
  </si>
  <si>
    <t xml:space="preserve">    Exports of Goods (fob)</t>
  </si>
  <si>
    <t xml:space="preserve">    Exports of Services</t>
  </si>
  <si>
    <t xml:space="preserve">    إجمالي الواردات السلعية(سيف)</t>
  </si>
  <si>
    <t xml:space="preserve">    الواردات الخدمية</t>
  </si>
  <si>
    <t xml:space="preserve">    Imports of Goods (cif)</t>
  </si>
  <si>
    <t xml:space="preserve">    Imports of Services</t>
  </si>
  <si>
    <t>الإنتاج</t>
  </si>
  <si>
    <t>الناتج المحلي الإجمالي غير النفطي</t>
  </si>
  <si>
    <t>اجمالي الصادرات من السلع والخدمات</t>
  </si>
  <si>
    <t>اجمالي الواردات من السلع والخدمات</t>
  </si>
  <si>
    <t>الناتج المحلي الإجمالي بالأسعار الثابتة</t>
  </si>
  <si>
    <t>الانفاق الاستهلاكي النهائئي للحكومة العامة</t>
  </si>
  <si>
    <t>الانفاق الاستهلاكي النهائي للأسر المعيشية</t>
  </si>
  <si>
    <t>الصادرات من السلع والخدمات</t>
  </si>
  <si>
    <t>الواردات من السلع والخدمات</t>
  </si>
  <si>
    <t>الدخل القومي</t>
  </si>
  <si>
    <t xml:space="preserve">الدخل القومي المتاح للتصرف </t>
  </si>
  <si>
    <t>2022*</t>
  </si>
  <si>
    <t>2023**</t>
  </si>
  <si>
    <t>MN</t>
  </si>
  <si>
    <t>الأنشطة المهنية والعلمية والتقنية وأنشطة الخدمات الإدارية وخدمات الدعم</t>
  </si>
  <si>
    <t>Professional, Scientific and Technical Activities and Administrative and Support Services</t>
  </si>
  <si>
    <t>Non-oil Gross Domestic Product</t>
  </si>
  <si>
    <t xml:space="preserve">**تقديرات أولية </t>
  </si>
  <si>
    <t>المصدر: المركز الاتحادي للتنافسية والإحصاء</t>
  </si>
  <si>
    <t xml:space="preserve">** Preliminary Estimation </t>
  </si>
  <si>
    <t>الانفاق الاستهلاكي النهائي للحكومة العامة</t>
  </si>
  <si>
    <t>Household final consumption expenditure</t>
  </si>
  <si>
    <t>General government final consumption expenditure</t>
  </si>
  <si>
    <t>واردات السلع</t>
  </si>
  <si>
    <t>واردات الخدمات</t>
  </si>
  <si>
    <t>Export of goods</t>
  </si>
  <si>
    <t>Export of services</t>
  </si>
  <si>
    <t>Import of goods</t>
  </si>
  <si>
    <t>Import of services</t>
  </si>
  <si>
    <t>(%)</t>
  </si>
  <si>
    <r>
      <t xml:space="preserve">Value in Million US$    </t>
    </r>
    <r>
      <rPr>
        <sz val="8"/>
        <rFont val="GE SS Two Light"/>
        <family val="1"/>
        <charset val="178"/>
      </rPr>
      <t xml:space="preserve"> القيمة بالمليون دولار</t>
    </r>
  </si>
  <si>
    <t>M &amp; N</t>
  </si>
  <si>
    <t>Professional, scientific and technical&amp; Administrative and support services</t>
  </si>
  <si>
    <t xml:space="preserve"> اجمالي تكوين رأس المال   </t>
  </si>
  <si>
    <t xml:space="preserve">اجمالي تكوين رأس المال  </t>
  </si>
  <si>
    <t>Tax</t>
  </si>
  <si>
    <t>Social contribution</t>
  </si>
  <si>
    <t>Grants</t>
  </si>
  <si>
    <t>Other revenue</t>
  </si>
  <si>
    <t>الضرائب</t>
  </si>
  <si>
    <t>المساهمات الاجتماعية</t>
  </si>
  <si>
    <t>المنح</t>
  </si>
  <si>
    <t>استخدام السلع والخدمات</t>
  </si>
  <si>
    <t>استهلاك رأس المال الثابت</t>
  </si>
  <si>
    <t>الفائدة</t>
  </si>
  <si>
    <t>الإعانات المالية</t>
  </si>
  <si>
    <t>المنافع الاجتماعية</t>
  </si>
  <si>
    <t>مصروفات أخرى</t>
  </si>
  <si>
    <t>Compensation of employees</t>
  </si>
  <si>
    <t>Use of goods and services</t>
  </si>
  <si>
    <t>Consumption of fixed capital</t>
  </si>
  <si>
    <t>Interest expense</t>
  </si>
  <si>
    <t>Subsidies</t>
  </si>
  <si>
    <t>Social benefits</t>
  </si>
  <si>
    <t>Other expense</t>
  </si>
  <si>
    <t>Net/gross investment in nonfinancial assets</t>
  </si>
  <si>
    <t>Expense</t>
  </si>
  <si>
    <t>المصروفات</t>
  </si>
  <si>
    <t>صافي/ اجمالي الاستثمار في الأصول غير المالية</t>
  </si>
  <si>
    <t>الحسابات القومية 2023</t>
  </si>
  <si>
    <t>اهلاك رأس المال</t>
  </si>
  <si>
    <t>الايردات</t>
  </si>
  <si>
    <t>النفقات</t>
  </si>
  <si>
    <t>دليل إحصاءات مالية الحكومة 2014</t>
  </si>
  <si>
    <t>General Government Statistic (GFS) - 2014</t>
  </si>
  <si>
    <t>دليل ميزان المدفوعات الطبقة السادسة</t>
  </si>
  <si>
    <t>Balance of Payment Manual version 6</t>
  </si>
  <si>
    <t xml:space="preserve">System of National AccountSNA93-2008 , ISIC4 </t>
  </si>
  <si>
    <t>هي مجموع المصروفات وصافي الاستثمار في الأصول غير المالية</t>
  </si>
  <si>
    <t>Expenditure</t>
  </si>
  <si>
    <t>هي تحويلات مستحقة القبض لوحدات حكومية من وحدات حكومية أخرى مقيمة او غير مقيمة او من منظمات دولية، ولا تستوفي تعريف الضريبة أو الاعانة او المساهمة الاجتماعية</t>
  </si>
  <si>
    <t>Interest</t>
  </si>
  <si>
    <t>الاستهلاك الوسيط - مالية الحكومة</t>
  </si>
  <si>
    <t>السلع والخدمات المستهلكة كمدخلات في عملية انتاج مع استبعاد الأصول الثابتة التي يقيد استهلاكها كاستهلاك رأس المال الثابت</t>
  </si>
  <si>
    <t>الأصول الثابتة</t>
  </si>
  <si>
    <t>هي أصول منتجة تستخدم على نحومتكر او مستمر في عمليات الإنتاج لمدة تزيد على سنة</t>
  </si>
  <si>
    <t>الاعانات</t>
  </si>
  <si>
    <t>هي مبالغ الزامية بدون مقابل مستحقة القبض للوحدات الحكومية من الوحدات المؤسسية</t>
  </si>
  <si>
    <t xml:space="preserve">هي زيادة في صافي القيمة ناتجة عن اجراء معاملة </t>
  </si>
  <si>
    <t>Revenue</t>
  </si>
  <si>
    <t>الإيرادات الأخرى</t>
  </si>
  <si>
    <t>هي جميع متحصلات الإيرادات التي تشمل دخل الملكية، مبيعات السلع والخدمات، الغرامات والجزاءات والمصادرات، التحويلات غير المنصفة في موضع آخر ، الأقساط والرسوم والمطالبات المرتبطة بنظم التأمين على غير الحياة والضمانات الموحدة</t>
  </si>
  <si>
    <t>هي انخفاض في صافي القيمة ناتج عن معاملة</t>
  </si>
  <si>
    <t>قيمة السلع والخدمات المستخدمة في انتاج سلع وخدمات سوقية وغير سوقية</t>
  </si>
  <si>
    <t>هي تحويلات جارية مستحقة القبض للأسر والهدف منها الوفاء باحتياجاتهم التي تنشأ عن المخاطر الاجتماعية مثل المرض او البطالة او التقاعد او الإسكان او التعليم او الظروف الأسرية</t>
  </si>
  <si>
    <t>المصروفات الأخرى</t>
  </si>
  <si>
    <t>مصروفات الملكية عدا الفائدة والتحويلات غير المصنفة في موضع آخر والمبالغ مستحقة الدفع  في صورة أقساط ورسوم ومطالبات متعلقة بنظم التأمين على غير الحياة والضمانات الموحد</t>
  </si>
  <si>
    <t>نهج الإنتاج</t>
  </si>
  <si>
    <t>نهج الانفاق</t>
  </si>
  <si>
    <t>measures GDP as the difference between value of output less the value of goods and services used in producing these outputs during an accounting period</t>
  </si>
  <si>
    <t>measures the final uses of the produced output as the sum of final consumption, gross capital formation and exports less imports</t>
  </si>
  <si>
    <t>the production approch</t>
  </si>
  <si>
    <t>the expenditure approch</t>
  </si>
  <si>
    <t>Intermediate consumption</t>
  </si>
  <si>
    <t>Output consists of those goods or services that are produced within an establishment that become available for use outside that establishment, plus any goods and services produced for own final use.</t>
  </si>
  <si>
    <t>Intermediate consumption consists of the value of the goods and services consumed as inputs by a process of production, excluding fixed assets whose consumption is recorded as consumption of fixed capital; the goods or services may be either transformed or used up by the production process.</t>
  </si>
  <si>
    <t>Compensation of employees is the total remuneration, in cash or in kind, payable by an enterprise to an employee in return for work done by the latter during the accounting period.</t>
  </si>
  <si>
    <t>حساب السلع والخدمات</t>
  </si>
  <si>
    <t>Goods and services account</t>
  </si>
  <si>
    <t>The goods and services account shows for the economy as a whole and for groups of products, the total resources in terms of output and imports, and the uses of goods and services in terms of intermediate consumption, final consumption, gross capital formation and exports.</t>
  </si>
  <si>
    <t>Government final consumption expenditure consists of expenditure, including imputed expenditure, incurred by general government on both individual consumption goods and services and collective consumption services.</t>
  </si>
  <si>
    <t>Gross national income (GNI)</t>
  </si>
  <si>
    <t>Household final consumption expenditure consists of the expenditure, including imputed expenditure, incurred by resident households on individual consumption goods and services, including those sold at prices that are not economically significant.</t>
  </si>
  <si>
    <t>Disposable income</t>
  </si>
  <si>
    <t>Consumption of fixed capital represents the reduction in the value of the fixed assets used in production during the accounting period resulting from physical deterioration, normal obsolescence or normal accidental damage.</t>
  </si>
  <si>
    <t>Imports of goods and services</t>
  </si>
  <si>
    <t>يقيس الناتج المحلي الإجمالي باعتباره الفرق بين قيمة المخرجات ناقصًا قيمة السلع والخدمات المستخدمة في إنتاج هذه المخرجات خلال فترة محاسبية</t>
  </si>
  <si>
    <t>يقيس الاستخدامات النهائية للإنتاج المنتج كمجموع الاستهلاك النهائي وإجمالي تكوين رأس المال والصادرات ناقص الواردات</t>
  </si>
  <si>
    <t>يتكون إنفاق الاستهلاك النهائي الحكومي من النفقات، بما في ذلك النفقات المحسوبة، التي تتكبدها الحكومة العامة على كل من السلع والخدمات الاستهلاكية الفردية وخدمات الاستهلاك الجماعي.</t>
  </si>
  <si>
    <t>يتكون الإنفاق الاستهلاكي النهائي للأسرة من النفقات، بما في ذلك النفقات المحسوبة، التي تتكبدها الأسر المقيمة على السلع والخدمات الاستهلاكية الفردية، بما في ذلك تلك التي تباع بأسعار ليست ذات أهمية اقتصادية.</t>
  </si>
  <si>
    <t>يتكون الناتج من تلك السلع أو الخدمات التي يتم إنتاجها داخل مؤسسة والتي تصبح متاحة للاستخدام خارج تلك المؤسسة، بالإضافة إلى أي سلع وخدمات يتم إنتاجها للاستخدام النهائي الخاص.</t>
  </si>
  <si>
    <t>يتكون الاستهلاك الوسيط من قيمة السلع والخدمات المستهلكة كمدخلات في عملية الإنتاج، باستثناء الأصول الثابتة التي يتم تسجيل استهلاكها كاستهلاك لرأس المال الثابت؛ قد يتم تحويل السلع أو الخدمات أو استخدامها من خلال عملية الإنتاج.</t>
  </si>
  <si>
    <t>تعويضات الموظفين هي إجمالي المكافآت، النقدية أو العينية، التي تدفعها المنشأة إلى الموظف مقابل العمل الذي قام به الأخير خلال الفترة المحاسبية.</t>
  </si>
  <si>
    <t>يمثل استهلاك رأس المال الثابت انخفاض قيمة الأصول الثابتة المستخدمة في الإنتاج خلال الفترة المحاسبية نتيجة للتدهور المادي أو التقادم الطبيعي أو التلف العرضي العادي.</t>
  </si>
  <si>
    <t>It is an increase in net worth resulting from a transaction</t>
  </si>
  <si>
    <t>These are obligatory, unpaid sums receivable to government units from institutional units</t>
  </si>
  <si>
    <t>They are transfers receivable to government units from other government units, resident or non-resident, or from international organizations, and do not meet the definition of tax, subsidy, or social contribution.</t>
  </si>
  <si>
    <t>These are all revenue receipts that include property income, sales of goods and services, fines, penalties and confiscations, unfair transfers elsewhere, premiums, fees and claims associated with non-life insurance systems and consolidated guarantees.</t>
  </si>
  <si>
    <t>It is a decrease in net worth resulting from a transaction</t>
  </si>
  <si>
    <t>The value of goods and services used in producing market and non-market goods and services</t>
  </si>
  <si>
    <t>They are current transfers receivable to families whose aim is to meet their needs that arise from social risks such as illness, unemployment, retirement, housing, education, or family circumstances.</t>
  </si>
  <si>
    <t>Goods and services consumed as inputs into a production process, excluding fixed assets whose consumption is restricted as consumption of fixed capital</t>
  </si>
  <si>
    <t>Property expenses other than interest and transfers not elsewhere classified and amounts payable in premiums, fees and claims relating to non-life insurance schemes and consolidated guarantees</t>
  </si>
  <si>
    <t>They are productive assets that are used repeatedly or continuously in production operations for a period of more than one year</t>
  </si>
  <si>
    <t>It is the sum of expenses and net investment in non-financial assets</t>
  </si>
  <si>
    <t>صافي الدخل القومي</t>
  </si>
  <si>
    <t>`</t>
  </si>
  <si>
    <t>GDP at current prices</t>
  </si>
  <si>
    <t>GDP at constnat prices</t>
  </si>
  <si>
    <t>Gross Disposable Income</t>
  </si>
  <si>
    <t>اجمالي الادخار</t>
  </si>
  <si>
    <t>الناتج المحلي الإجمالي بالأسعار الجارية</t>
  </si>
  <si>
    <t>Gross  Capital Formation</t>
  </si>
  <si>
    <t xml:space="preserve">الإنفاق الإستهلاكي النهائي  </t>
  </si>
  <si>
    <t>المصدر : وزارة المالية</t>
  </si>
  <si>
    <t>Source:  Ministry of Finance</t>
  </si>
  <si>
    <t>Total non-oil Gross Domestic Product</t>
  </si>
  <si>
    <t xml:space="preserve">الناتج المحلي الإجمالي بالأسعار الثابتة  لسنة الأساس 2010 </t>
  </si>
  <si>
    <t>Gross Domestic Product at constant prices for the base year 2010</t>
  </si>
  <si>
    <t xml:space="preserve">صافي الدخل القومي </t>
  </si>
  <si>
    <t>Gross Saving</t>
  </si>
  <si>
    <t>Gross Capital Formation</t>
  </si>
  <si>
    <t>Total  Revenues</t>
  </si>
  <si>
    <t>Total  Expenditure</t>
  </si>
  <si>
    <t>Surplus / Deficit</t>
  </si>
  <si>
    <t>National account</t>
  </si>
  <si>
    <t>الحسابات القومية</t>
  </si>
  <si>
    <t>مالية الحكومة العامة</t>
  </si>
  <si>
    <t xml:space="preserve">General Government Finance </t>
  </si>
  <si>
    <t>Fixed Assets</t>
  </si>
  <si>
    <t>2023*</t>
  </si>
  <si>
    <t xml:space="preserve">** Preliminary Estimations </t>
  </si>
  <si>
    <t>* المسح الاقتصادي 2023 عن السنة المالية 2022</t>
  </si>
  <si>
    <t>* Economic Survey 2023 for the financial year 2022</t>
  </si>
  <si>
    <t>بنود الإنفــــــاق</t>
  </si>
  <si>
    <t>Expenditure Items</t>
  </si>
  <si>
    <t>P.5</t>
  </si>
  <si>
    <t>* بيانات أولية</t>
  </si>
  <si>
    <t>* Preliminary Data.</t>
  </si>
  <si>
    <t>يقيس إجمالي قيمة السلع  والخدمات التي يتم انتاجها من طرف وحدات مؤسسية مقيمة في الاقتصاد المحلي  خلال فترة زمنية محددة ، عادة ما تكون سنة.</t>
  </si>
  <si>
    <t>يقيس إجمالي قيمة السلع  والخدمات التي يتم انتاجها من طرف وحدات مؤسسية مقيمة في الاقتصاد المحلي  خلال فترة زمنية محددة ، عادة ما تكون سنة. ويأخذ الناتج المحلي الإجمالي بالأسعار الثابتة بعين الاعتبار التغير الذي يحصل في الأسعار  من خلال  إزالة تأثير ارتفاع الأسعار والذي يعرف أيضا بالتضخم.</t>
  </si>
  <si>
    <t>يبين حساب السلع والخدمات بالنسبة للاقتصاد ككل ولمجموعات المنتجات، إجمالي الموارد من حيث الإنتاج والواردات، واستخدامات السلع والخدمات من حيث الاستهلاك الوسيط والاستهلاك النهائي وإجمالي تكوين رأس المال والصادرات.</t>
  </si>
  <si>
    <t xml:space="preserve">Non-financial corporations are corporations whose principal activity is the production of market goods or non-financial services
</t>
  </si>
  <si>
    <t>Gross capital formation is measured by the total value of the gross fixed capital formation, changes in inventories and acquisitions less disposals of valuables</t>
  </si>
  <si>
    <t>Household Final Consumption Expenditure</t>
  </si>
  <si>
    <t>Non-financal Coporations</t>
  </si>
  <si>
    <t>Government Final Consumption Expenditure</t>
  </si>
  <si>
    <t xml:space="preserve">اجمالي تكوين رأس المال </t>
  </si>
  <si>
    <t xml:space="preserve">Imports of goods and services consist of purchases, barter, or receipts of gifts or grants, of goods and services by residents from non-residents; </t>
  </si>
  <si>
    <t>تتكون واردات السلع والخدمات من عمليات الشراء أو المقايضة أو استلام الهدايا أو المنح للسلع والخدمات من قبل المقيمين من غير المقيمين</t>
  </si>
  <si>
    <t>Exports of goods and services consist of sales, barter, or gifts or grants, of goods and services from residents to non-residents</t>
  </si>
  <si>
    <t>تتكون صادرات السلع والخدمات من المبيعات أو المقايضة أو الهدايا أو المنح للسلع والخدمات من المقيمين إلى غير المقيمين</t>
  </si>
  <si>
    <t xml:space="preserve">Gross National Income (GNI) is GDP less net taxes on production and imports, less compensation of employees and property income payable to the rest of the world plus the corresponding items receivable from the rest of the world (in other words, GDP less primary incomes payable to non-resident units plus primary incomes receivable from non-resident units); </t>
  </si>
  <si>
    <t>الدخل القومي الإجمالي (GNI) هو الناتج المحلي الإجمالي ناقص صافي الضرائب على الإنتاج والواردات، ناقص تعويضات الموظفين والدخل العقاري المستحق لبقية العالم بالإضافة إلى العناصر المقابلة المستحقة القبض من بقية العالم (وبعبارة أخرى، الناتج المحلي الإجمالي ناقص الدخل الأولي المستحقة الدفع للوحدات غير المقيمة بالإضافة إلى الدخل الأولي المستحق من الوحدات غير المقيمة)</t>
  </si>
  <si>
    <t>Gross saving is disposable income less consumption.</t>
  </si>
  <si>
    <t xml:space="preserve">The aggregate value of the balances of net primary incomes summed over all sectors </t>
  </si>
  <si>
    <t>Social contributions are actual or imputed payments to social insurance schemes to make provision for social insurance benefits to be paid</t>
  </si>
  <si>
    <t>is a form of income that is receivable by the owners of certain kinds of financial assets, namely: deposits, debt securities, loans and (possibly) other accounts receivable for putting the financial asset at the disposal of another institutional unit</t>
  </si>
  <si>
    <t>are current unrequited payments that government units, including non-resident government units, make to enterprises on the basis of the levels of their production activities or the quantities or values of the goods or services that they produce, sell or import.</t>
  </si>
  <si>
    <t>Table 25:  Goods and Services Account for the period 2016 - 2023**</t>
  </si>
  <si>
    <t>Table 31: Growth Rate of UAE Main Economic Variables for the period 2010 - 2023**</t>
  </si>
  <si>
    <t>It measures the total value of goods and services produced by resident institutional units in the local economy during a specific period of time, usually a year.</t>
  </si>
  <si>
    <t>It measures the total value of goods and services produced by resident institutional units in the local economy during a specific period of time, usually a year. GDP at constant prices takes into account the change in prices by removing the effect of rising prices, which is also known as inflation.</t>
  </si>
  <si>
    <t>الشركات غير المالية هي الشركات التي يتمثل نشاطها الرئيسي في إنتاج سلع السوق أو الخدمات غير المالية</t>
  </si>
  <si>
    <t>يقاس إجمالي تكوين رأس المال بالقيمة الإجمالية لإجمالي تكوين رأس المال الثابت والتغيرات في المخزونات والمقتنيات ناقصا التصرف في الأشياء الثمينة</t>
  </si>
  <si>
    <t>إجمالي الادخار هو الدخل المتاح ناقص الاستهلاك.</t>
  </si>
  <si>
    <t xml:space="preserve"> هو الدخل الذي يمكن استخدامه لنفقات الاستهلاك النهائي والادخار</t>
  </si>
  <si>
    <t xml:space="preserve"> the income which can be used for final consumption expenditure and saving</t>
  </si>
  <si>
    <t>القيمة الإجمالية لأرصدة صافي الدخل الأولي مجموعة على جميع القطاعات</t>
  </si>
  <si>
    <t>المساهمات الاجتماعية هي مدفوعات فعلية أو محسوبة لبرامج التأمين الاجتماعي لتوفير مخصصات لمزايا التأمين الاجتماعي التي يتعين دفعها</t>
  </si>
  <si>
    <t>هو شكل من أشكال الدخل المستحق لأصحاب أنواع معينة من الأصول المالية، وهي: الودائع وسندات الدين والقروض و(ربما) الحسابات المدينة الأخرى لوضع الأصل المالي تحت تصرف وحدة مؤسسية أخرى</t>
  </si>
  <si>
    <t>هي المدفوعات الحالية غير المتبادلة التي تقدمها الوحدات الحكومية، بما في ذلك الوحدات الحكومية غير المقيمة، للمؤسسات على أساس مستويات أنشطتها الإنتاجية أو كميات أو قيم السلع أو الخدمات التي تنتجها أو تبيعها أو تستوردها.</t>
  </si>
  <si>
    <t>العنوان</t>
  </si>
  <si>
    <t>رقم الجدول
Table Number</t>
  </si>
  <si>
    <t>Subject</t>
  </si>
  <si>
    <t>Value in Million AED  القيمة بالمليون درهم</t>
  </si>
  <si>
    <r>
      <t xml:space="preserve">جدول 1: الناتج المحلي الإجمالي بالأسعار الجارية </t>
    </r>
    <r>
      <rPr>
        <b/>
        <sz val="9"/>
        <rFont val="Arial"/>
        <family val="2"/>
      </rPr>
      <t>2010 - 2023**</t>
    </r>
    <r>
      <rPr>
        <b/>
        <sz val="10"/>
        <rFont val="Arial"/>
        <family val="2"/>
      </rPr>
      <t xml:space="preserve"> </t>
    </r>
  </si>
  <si>
    <t xml:space="preserve">Table 1: Gross Domestic Product at Current Prices, 2010 - 2023** </t>
  </si>
  <si>
    <t xml:space="preserve"> Table 2:  Percentage of Gross Domestic Product Contribution at Current Prices,  2010 - 2023** </t>
  </si>
  <si>
    <t xml:space="preserve">Table 3:  Gross Domestic Product Growth Rates at Current Pricess, 2010 - 2023** </t>
  </si>
  <si>
    <t xml:space="preserve">Table 4: Gross Domestic Product at Current Prices,  2010 - 2023** </t>
  </si>
  <si>
    <r>
      <t xml:space="preserve">جدول 2: المساهمة في الناتج المحلي الإجمالي بالأسعار الجارية </t>
    </r>
    <r>
      <rPr>
        <b/>
        <sz val="9"/>
        <rFont val="Arial"/>
        <family val="2"/>
      </rPr>
      <t>2010 - 2023**</t>
    </r>
    <r>
      <rPr>
        <b/>
        <sz val="10"/>
        <rFont val="Arial"/>
        <family val="2"/>
      </rPr>
      <t xml:space="preserve"> </t>
    </r>
  </si>
  <si>
    <r>
      <t xml:space="preserve">جدول 3: معدل نمو الناتج المحلي الإجمالي بالأسعار الجارية </t>
    </r>
    <r>
      <rPr>
        <b/>
        <sz val="9"/>
        <rFont val="Arial"/>
        <family val="2"/>
      </rPr>
      <t xml:space="preserve">2010 - 2023** </t>
    </r>
    <r>
      <rPr>
        <b/>
        <sz val="10"/>
        <rFont val="Arial"/>
        <family val="2"/>
      </rPr>
      <t xml:space="preserve"> </t>
    </r>
  </si>
  <si>
    <r>
      <t xml:space="preserve">جدول 4: الناتج المحلي الإجمالي بالأسعار الجارية </t>
    </r>
    <r>
      <rPr>
        <b/>
        <sz val="9"/>
        <rFont val="Arial"/>
        <family val="2"/>
      </rPr>
      <t>2010 - 2023**</t>
    </r>
  </si>
  <si>
    <r>
      <t xml:space="preserve">Value in Million US $   </t>
    </r>
    <r>
      <rPr>
        <sz val="8"/>
        <rFont val="GE SS Two Light"/>
        <family val="1"/>
        <charset val="178"/>
      </rPr>
      <t>القيمة بالمليون دولار</t>
    </r>
  </si>
  <si>
    <t xml:space="preserve">Table 5: Gross Domestic Product at Constant Prices (base year 2010), 2010 - 2023** </t>
  </si>
  <si>
    <t xml:space="preserve"> Table 6:  Gross Domestic Product Contribution at Constant Prices (base year 2010), 2010 - 2023** </t>
  </si>
  <si>
    <t xml:space="preserve">Table 7: Gross Domestic Product Growth Rates at Constant Prices (base year 2010), 2010 - 2023** </t>
  </si>
  <si>
    <t xml:space="preserve">Table 8: Gross Domestic Product at Constant Prices (base year 2010), 2010 - 2023** </t>
  </si>
  <si>
    <r>
      <t xml:space="preserve">جدول 5: الناتج المحلي الإجمالي بالأسعار الثابتة (سنة الأساس </t>
    </r>
    <r>
      <rPr>
        <b/>
        <sz val="9"/>
        <rFont val="Arial"/>
        <family val="2"/>
      </rPr>
      <t>2010) 2010 - 2023**</t>
    </r>
    <r>
      <rPr>
        <b/>
        <sz val="10"/>
        <rFont val="Arial"/>
        <family val="2"/>
      </rPr>
      <t xml:space="preserve"> </t>
    </r>
  </si>
  <si>
    <r>
      <t xml:space="preserve">جدول 6: المساهمة في الناتج المحلي الإجمالي بالأسعار الثابتة (سنة الأساس </t>
    </r>
    <r>
      <rPr>
        <b/>
        <sz val="9"/>
        <rFont val="Arial"/>
        <family val="2"/>
      </rPr>
      <t>2010) 2010 - 2023**</t>
    </r>
    <r>
      <rPr>
        <b/>
        <sz val="10"/>
        <rFont val="Arial"/>
        <family val="2"/>
      </rPr>
      <t xml:space="preserve"> </t>
    </r>
  </si>
  <si>
    <r>
      <t xml:space="preserve">جدول 7: معدل نمو الناتج المحلي الإجمالي بالأسعار الثابتة (سنة الأساس </t>
    </r>
    <r>
      <rPr>
        <b/>
        <sz val="9"/>
        <rFont val="Arial"/>
        <family val="2"/>
      </rPr>
      <t>2010) 2010 - 2023**</t>
    </r>
    <r>
      <rPr>
        <b/>
        <sz val="10"/>
        <rFont val="Arial"/>
        <family val="2"/>
      </rPr>
      <t xml:space="preserve"> </t>
    </r>
  </si>
  <si>
    <r>
      <t xml:space="preserve">جدول 8: الناتج المحلي الإجمالي بالأسعار الثابتة (سنة الأساس </t>
    </r>
    <r>
      <rPr>
        <b/>
        <sz val="9"/>
        <rFont val="Arial"/>
        <family val="2"/>
      </rPr>
      <t>2010) 2010 - 2023**</t>
    </r>
    <r>
      <rPr>
        <b/>
        <sz val="10"/>
        <rFont val="Arial"/>
        <family val="2"/>
      </rPr>
      <t xml:space="preserve"> </t>
    </r>
  </si>
  <si>
    <r>
      <t xml:space="preserve">Value in Million AED </t>
    </r>
    <r>
      <rPr>
        <sz val="8"/>
        <rFont val="GE SS Two Light"/>
        <family val="1"/>
        <charset val="178"/>
      </rPr>
      <t>القيمة بالمليون درهم</t>
    </r>
  </si>
  <si>
    <r>
      <t xml:space="preserve">Value in Million US$  </t>
    </r>
    <r>
      <rPr>
        <sz val="8"/>
        <rFont val="GE SS Two Light"/>
        <family val="1"/>
        <charset val="178"/>
      </rPr>
      <t>القيمة بالمليون دولار</t>
    </r>
  </si>
  <si>
    <t xml:space="preserve">Table 9: Gross Domestic Product by Expenditure Approch at Current Prices, 2010 - 2023** </t>
  </si>
  <si>
    <t xml:space="preserve">Table 10: Gross Domestic Product Contribution by Expenditure Approch at Current Prices, 2010 - 2023** </t>
  </si>
  <si>
    <t xml:space="preserve">Table 11:  Gross Domestic Product Growth Rates by Expenditure Approch at Current Prices, 2010 - 2023** </t>
  </si>
  <si>
    <t xml:space="preserve">Table 12: Gross Domestic Product by Expenditure Approch at Current Prices, 2010 - 2023** </t>
  </si>
  <si>
    <r>
      <t xml:space="preserve"> جدول 12: الناتج المحلي الإجمالي بنهج الانفاق بالأسعار الجارية </t>
    </r>
    <r>
      <rPr>
        <b/>
        <sz val="9"/>
        <rFont val="Arial"/>
        <family val="2"/>
      </rPr>
      <t>2010 - 2023**</t>
    </r>
  </si>
  <si>
    <t>-  Not applicable</t>
  </si>
  <si>
    <r>
      <t xml:space="preserve"> جدول 13: الناتج المحلي الإجمالي بنهج الانفاق بالأسعار الثابتة (سنة الأساس </t>
    </r>
    <r>
      <rPr>
        <b/>
        <sz val="9"/>
        <rFont val="Arial"/>
        <family val="2"/>
      </rPr>
      <t>2010) 2010 - 2023**</t>
    </r>
  </si>
  <si>
    <t xml:space="preserve">Table 13: Gross Domestic Product by Expenditure Approch at Constant Prices (base year 2010), 2010 - 2023** </t>
  </si>
  <si>
    <r>
      <t xml:space="preserve"> جدول 14: المساهمة في الناتج المحلي الإجمالي بنهج الانفاق بالأسعار الثابتة (سنة الأساس </t>
    </r>
    <r>
      <rPr>
        <b/>
        <sz val="9"/>
        <rFont val="Arial"/>
        <family val="2"/>
      </rPr>
      <t>2010) 2010 - 2023**</t>
    </r>
  </si>
  <si>
    <t xml:space="preserve">Table 14: Gross Domestic Product Contribution by Expenditure Approch at Constant Prices (base year 2010), 2010 - 2023** </t>
  </si>
  <si>
    <t xml:space="preserve">** تقديرات أولية </t>
  </si>
  <si>
    <r>
      <t xml:space="preserve"> جدول 15: معدل نمو الناتج المحلي الإجمالي بنهج الانفاق بالأسعار الثابتة (سنة الأساس </t>
    </r>
    <r>
      <rPr>
        <b/>
        <sz val="9"/>
        <rFont val="Arial"/>
        <family val="2"/>
      </rPr>
      <t>2010) 2010 - 2023**</t>
    </r>
  </si>
  <si>
    <t xml:space="preserve">Table 15:  Gross Domestic Product Growth Rate by Eexpenditure Approch at Constant Pprices (base year 2010), 2010 - 2023** </t>
  </si>
  <si>
    <t>Value in Million US$  القيمة بالمليون دولار</t>
  </si>
  <si>
    <t>الإنفاق الإستهلاكي النهائي:</t>
  </si>
  <si>
    <r>
      <t xml:space="preserve"> جدول 16: الناتج المحلي الإجمالي بنهج الانفاق بالأسعار الثابتة (سنة الأساس </t>
    </r>
    <r>
      <rPr>
        <b/>
        <sz val="9"/>
        <rFont val="Arial"/>
        <family val="2"/>
      </rPr>
      <t>2010) 2010 - 2023**</t>
    </r>
  </si>
  <si>
    <t xml:space="preserve">Table 16: Gross Domestic Product by Expenditure Approch at Constant Prices (base year 2010) , 2010 - 2023** </t>
  </si>
  <si>
    <r>
      <t xml:space="preserve">جدول 17: قيمة الإنتاج حسب القطاعات / الأنشطة الاقتصادية </t>
    </r>
    <r>
      <rPr>
        <b/>
        <sz val="9"/>
        <rFont val="Arial"/>
        <family val="2"/>
      </rPr>
      <t>2010 - 2023**</t>
    </r>
  </si>
  <si>
    <t xml:space="preserve">Table 17: Production by Economic Activites/Sectors, 2010 - 2023**   </t>
  </si>
  <si>
    <t xml:space="preserve">جدول 18: الاستهلاك الوسيط حسب القطاعات / الأنشطة الاقتصادية  2010 - 2023** </t>
  </si>
  <si>
    <t xml:space="preserve">Table 18: Intermediat Consumption by Economic Aactivites/Sectors, 2010 - 2023**  </t>
  </si>
  <si>
    <t xml:space="preserve">جدول 19: تعويضات المشتغلين حسب القطاعات/ الأنشطة الاقتصادية 2010 - 2023** </t>
  </si>
  <si>
    <t xml:space="preserve">Table 19: Compensation of Employees by Economic Activites/Sectors, 2010 - 2023** </t>
  </si>
  <si>
    <t>Value in Million AED القيمة بالمليون درهم</t>
  </si>
  <si>
    <t xml:space="preserve">جدول 20: اجمالي تكوين رأس المال حسب القطاعات / الأنشطة الاقتصادية 2010 - 2023** </t>
  </si>
  <si>
    <t xml:space="preserve">Table 20: Gross Capital Formation by Economic Activites/Sectors, 2010 - 2023**  </t>
  </si>
  <si>
    <t xml:space="preserve">جدول 21: قيمة الإنتاج حسب القطاعات/ الأنشطة الاقتصادية 2010 - 2023** </t>
  </si>
  <si>
    <t xml:space="preserve">Table 21: Production by Economic Activites/Sectors, 2010 - 2023** </t>
  </si>
  <si>
    <t xml:space="preserve">جدول 22: الاستهلاك الوسيط حسب القطاعات / الأنشطة الاقتصادية 2010 - 2023** </t>
  </si>
  <si>
    <t xml:space="preserve">Table 22 : Intermediat Consumption by Economic Activites/Sectors, 2010 - 2023**  </t>
  </si>
  <si>
    <t xml:space="preserve">جدول 23: تعويضات المشتغلين حسب القطاعات/ الأنشطة الاقتصادية 2010 - 2023** </t>
  </si>
  <si>
    <t xml:space="preserve">Table 23: Compensation of Employees by Economic Activites/Sectors, 2010 - 2023** </t>
  </si>
  <si>
    <t xml:space="preserve">جدول 24: اجمالي تكوين رأس المال حسب القطاعات / الأنشطة الاقتصادية 2010 - 2023** </t>
  </si>
  <si>
    <t xml:space="preserve">Table 24: Gross Capital Formation by Economic Activites/Sectors, 2010 - 2023** </t>
  </si>
  <si>
    <r>
      <t xml:space="preserve">Value in Million US$ </t>
    </r>
    <r>
      <rPr>
        <sz val="8"/>
        <rFont val="GE SS Two Light"/>
        <family val="1"/>
        <charset val="178"/>
      </rPr>
      <t>القيمة بالمليون دولار</t>
    </r>
  </si>
  <si>
    <t xml:space="preserve"> Table 26: Goods and Services Account, 2016 - 2023** </t>
  </si>
  <si>
    <r>
      <t xml:space="preserve">Value in Million US$ </t>
    </r>
    <r>
      <rPr>
        <sz val="8"/>
        <rFont val="GE SS Two Light"/>
        <family val="1"/>
        <charset val="178"/>
      </rPr>
      <t xml:space="preserve"> القيمة بالمليون دولار</t>
    </r>
  </si>
  <si>
    <t xml:space="preserve">Table 27: Goods and Services Account, 2010 - 2016 </t>
  </si>
  <si>
    <t xml:space="preserve"> Table 28: Goods and Services Account, 2010 - 2016 </t>
  </si>
  <si>
    <t>Table 29: United Arab Emirates Main Economic Variables, 2010 - 2023**</t>
  </si>
  <si>
    <t>Value in Thousand US$   القيمة ألف دولار</t>
  </si>
  <si>
    <t>Value in Thousand AED القيمة ألف درهم</t>
  </si>
  <si>
    <t xml:space="preserve">جدول 33: حصة الفرد من المؤشرات الاقتصادية الرئيسية  لدولة الإمارات العربية المتحدة 2010 - 2023** </t>
  </si>
  <si>
    <t xml:space="preserve">Table 33: U.A.E Main Economic Indicators Per Capita, 2010 - 2023** </t>
  </si>
  <si>
    <t xml:space="preserve">Table 32: United Arab Emirates Main Economic Variables, 2010 - 2023** </t>
  </si>
  <si>
    <t>-  لا ينطبق</t>
  </si>
  <si>
    <r>
      <t xml:space="preserve">جدول 25: حساب السلع والخدمات </t>
    </r>
    <r>
      <rPr>
        <b/>
        <sz val="9"/>
        <rFont val="Arial"/>
        <family val="2"/>
      </rPr>
      <t>2016 - 2023</t>
    </r>
    <r>
      <rPr>
        <b/>
        <sz val="10"/>
        <rFont val="Arial"/>
        <family val="2"/>
      </rPr>
      <t xml:space="preserve">** </t>
    </r>
  </si>
  <si>
    <r>
      <t xml:space="preserve">جدول 26: حساب السلع والخدمات  </t>
    </r>
    <r>
      <rPr>
        <b/>
        <sz val="9"/>
        <rFont val="Arial"/>
        <family val="2"/>
      </rPr>
      <t>2016 - 2023</t>
    </r>
    <r>
      <rPr>
        <b/>
        <sz val="10"/>
        <rFont val="Arial"/>
        <family val="2"/>
      </rPr>
      <t>**</t>
    </r>
  </si>
  <si>
    <r>
      <t xml:space="preserve">جدول 28: حساب السلع والخدمات </t>
    </r>
    <r>
      <rPr>
        <b/>
        <sz val="9"/>
        <rFont val="Arial"/>
        <family val="2"/>
      </rPr>
      <t>2010 - 2016</t>
    </r>
  </si>
  <si>
    <r>
      <t xml:space="preserve">Value in Million US$  </t>
    </r>
    <r>
      <rPr>
        <sz val="8"/>
        <rFont val="GE SS Two Light"/>
        <family val="1"/>
        <charset val="178"/>
      </rPr>
      <t xml:space="preserve"> القيمة بالمليون دولار</t>
    </r>
  </si>
  <si>
    <r>
      <t xml:space="preserve">جدول 27: حساب السلع والخدمات </t>
    </r>
    <r>
      <rPr>
        <b/>
        <sz val="9"/>
        <rFont val="Arial"/>
        <family val="2"/>
      </rPr>
      <t>2010 - 2016</t>
    </r>
    <r>
      <rPr>
        <b/>
        <sz val="10"/>
        <rFont val="Arial"/>
        <family val="2"/>
      </rPr>
      <t xml:space="preserve"> </t>
    </r>
  </si>
  <si>
    <t xml:space="preserve">Table 30 : U.A.E. Main Economic Indicators Per Capit, 2010 - 2023** </t>
  </si>
  <si>
    <t xml:space="preserve"> Table 34 : Total General Government Revenues and Expenditure, 2010 - 2023*</t>
  </si>
  <si>
    <t>Table 35 : General Government  Revenues, 2010 - 2023*</t>
  </si>
  <si>
    <t>Table 36 : General Government Expenditure, 2010 - 2023*</t>
  </si>
  <si>
    <t xml:space="preserve"> Table 37 : Total General Government Revenues and Expenditure, 2010 - 2023*</t>
  </si>
  <si>
    <t>Table 38 : General Government  Revenues, 2010 - 2023*</t>
  </si>
  <si>
    <t>Table 39 : General Government Expenditure, 2010 - 2023*</t>
  </si>
  <si>
    <r>
      <t xml:space="preserve">جدول 38: إيرادات الحكومة العامة </t>
    </r>
    <r>
      <rPr>
        <b/>
        <sz val="9"/>
        <rFont val="Arial"/>
        <family val="2"/>
      </rPr>
      <t>2010 - 2023</t>
    </r>
    <r>
      <rPr>
        <b/>
        <sz val="10"/>
        <rFont val="Arial"/>
        <family val="2"/>
      </rPr>
      <t>*</t>
    </r>
  </si>
  <si>
    <r>
      <t xml:space="preserve">جدول 39: نفقات الحكومة العامة </t>
    </r>
    <r>
      <rPr>
        <b/>
        <sz val="9"/>
        <rFont val="Arial"/>
        <family val="2"/>
      </rPr>
      <t>2010 - 2023</t>
    </r>
    <r>
      <rPr>
        <b/>
        <sz val="10"/>
        <rFont val="Arial"/>
        <family val="2"/>
      </rPr>
      <t>*</t>
    </r>
  </si>
  <si>
    <r>
      <t xml:space="preserve"> جدول 11: معدل نمو الناتج المحلي الإجمالي بنهج الانفاق بالأسعار الجارية </t>
    </r>
    <r>
      <rPr>
        <b/>
        <sz val="9"/>
        <rFont val="Arial"/>
        <family val="2"/>
      </rPr>
      <t>2010 - 2023**</t>
    </r>
    <r>
      <rPr>
        <b/>
        <sz val="10"/>
        <rFont val="Arial"/>
        <family val="2"/>
      </rPr>
      <t xml:space="preserve"> </t>
    </r>
  </si>
  <si>
    <t>Final Consumption Expenditure:</t>
  </si>
  <si>
    <t>السكان (ألف نسمة)</t>
  </si>
  <si>
    <r>
      <t xml:space="preserve">جدول 29: المتغيرات الاقتصادية الرئيسية لدولة الإمارات العربية المتحدة </t>
    </r>
    <r>
      <rPr>
        <b/>
        <sz val="9"/>
        <rFont val="Arial"/>
        <family val="2"/>
      </rPr>
      <t>2010 - 2023**</t>
    </r>
    <r>
      <rPr>
        <b/>
        <sz val="10"/>
        <rFont val="Arial"/>
        <family val="2"/>
      </rPr>
      <t xml:space="preserve"> </t>
    </r>
  </si>
  <si>
    <r>
      <t xml:space="preserve">جدول 30: حصة الفرد من المؤشرات الاقتصادية الرئيسية  لدولة الإمارات العربية المتحدة </t>
    </r>
    <r>
      <rPr>
        <b/>
        <sz val="9"/>
        <rFont val="Arial"/>
        <family val="2"/>
      </rPr>
      <t>2010 - 2023**</t>
    </r>
    <r>
      <rPr>
        <b/>
        <sz val="10"/>
        <rFont val="Arial"/>
        <family val="2"/>
      </rPr>
      <t xml:space="preserve"> </t>
    </r>
  </si>
  <si>
    <r>
      <t xml:space="preserve">جدول 31: معدل نمو المتغيرات الاقتصادية الرئيسية لدولة الإمارات العربية المتحدة </t>
    </r>
    <r>
      <rPr>
        <b/>
        <sz val="9"/>
        <rFont val="Arial"/>
        <family val="2"/>
      </rPr>
      <t>2010 - 2023**</t>
    </r>
    <r>
      <rPr>
        <b/>
        <sz val="10"/>
        <rFont val="Arial"/>
        <family val="2"/>
      </rPr>
      <t xml:space="preserve"> </t>
    </r>
  </si>
  <si>
    <r>
      <t xml:space="preserve">جدول 32: المتغيرات الاقتصادية الرئيسية لدولة الإمارات العربية المتحدة </t>
    </r>
    <r>
      <rPr>
        <b/>
        <sz val="9"/>
        <rFont val="Arial"/>
        <family val="2"/>
      </rPr>
      <t>2010 - 2023**</t>
    </r>
    <r>
      <rPr>
        <b/>
        <sz val="10"/>
        <rFont val="Arial"/>
        <family val="2"/>
      </rPr>
      <t xml:space="preserve"> </t>
    </r>
  </si>
  <si>
    <r>
      <t xml:space="preserve">جدول 36: نفقات الحكومة العامة </t>
    </r>
    <r>
      <rPr>
        <b/>
        <sz val="8"/>
        <rFont val="Arial"/>
        <family val="2"/>
      </rPr>
      <t>2010 - 2023</t>
    </r>
    <r>
      <rPr>
        <b/>
        <sz val="10"/>
        <rFont val="Arial"/>
        <family val="2"/>
      </rPr>
      <t>*</t>
    </r>
  </si>
  <si>
    <r>
      <t xml:space="preserve">جدول 35: إيرادات الحكومة العامة </t>
    </r>
    <r>
      <rPr>
        <b/>
        <sz val="9"/>
        <rFont val="Arial"/>
        <family val="2"/>
      </rPr>
      <t>2010 - 2023</t>
    </r>
    <r>
      <rPr>
        <b/>
        <sz val="10"/>
        <rFont val="Arial"/>
        <family val="2"/>
      </rPr>
      <t>*</t>
    </r>
  </si>
  <si>
    <r>
      <t xml:space="preserve">جدول 34: إجمالي إيرادات ونفقات الحكومة العامة </t>
    </r>
    <r>
      <rPr>
        <b/>
        <sz val="9"/>
        <rFont val="Arial"/>
        <family val="2"/>
      </rPr>
      <t>2010 - 2023</t>
    </r>
    <r>
      <rPr>
        <b/>
        <sz val="10"/>
        <rFont val="Arial"/>
        <family val="2"/>
      </rPr>
      <t>*</t>
    </r>
  </si>
  <si>
    <t>الجهة</t>
  </si>
  <si>
    <t xml:space="preserve">المركز الاتحادي للتنافسية والاحصاء </t>
  </si>
  <si>
    <t>Federal Competitiveness and Statistics Centre</t>
  </si>
  <si>
    <t>Entity</t>
  </si>
  <si>
    <t>قسم نشر وجودة البيانات</t>
  </si>
  <si>
    <t>Data Publication &amp; Quality Section</t>
  </si>
  <si>
    <t>Section</t>
  </si>
  <si>
    <t>Phone number</t>
  </si>
  <si>
    <t>info@fcsc.gov.ae</t>
  </si>
  <si>
    <t xml:space="preserve">Data Characteristics </t>
  </si>
  <si>
    <t>نوع المصدر</t>
  </si>
  <si>
    <t>Source type</t>
  </si>
  <si>
    <t>اسم المصدر</t>
  </si>
  <si>
    <t xml:space="preserve">Source name </t>
  </si>
  <si>
    <t>سنوية</t>
  </si>
  <si>
    <t>UAE Population</t>
  </si>
  <si>
    <t>Target population</t>
  </si>
  <si>
    <t>المفاهيم الإحصائية المستخدمة</t>
  </si>
  <si>
    <t>Statistical Concepts</t>
  </si>
  <si>
    <t>بيانات سجلية / مسوح</t>
  </si>
  <si>
    <t>Administrative Records / Surveys</t>
  </si>
  <si>
    <t>المركز الاتحادي للتنافسية والإحصاء
المراكز الإحصائية المحلية
مصرف الإمارات العربية المتحدة المركزي
وزارة المالية
الهيئة الاتحادية للهوية والجنسية والجمارك وأمن المنافذ</t>
  </si>
  <si>
    <t>دولة الإمارات العربية المتحدة</t>
  </si>
  <si>
    <t>شاملة</t>
  </si>
  <si>
    <t>القطاع الاقتصادي</t>
  </si>
  <si>
    <t>Comprehensive</t>
  </si>
  <si>
    <t>Economic Sector</t>
  </si>
  <si>
    <t>التصانيف الإحصائية المستخدمة</t>
  </si>
  <si>
    <t>Statistical Classifications</t>
  </si>
  <si>
    <r>
      <t xml:space="preserve"> جدول 10: المساهمة في الناتج المحلي الإجمالي بنهج الإنفاق بالأسعار الجارية </t>
    </r>
    <r>
      <rPr>
        <b/>
        <sz val="9"/>
        <rFont val="Arial"/>
        <family val="2"/>
      </rPr>
      <t>2010 - 2023**</t>
    </r>
    <r>
      <rPr>
        <b/>
        <sz val="10"/>
        <rFont val="Arial"/>
        <family val="2"/>
      </rPr>
      <t xml:space="preserve"> </t>
    </r>
  </si>
  <si>
    <r>
      <t xml:space="preserve"> جدول 9: الناتج المحلي الإجمالي بنهج الإنفاق بالأسعار الجارية </t>
    </r>
    <r>
      <rPr>
        <b/>
        <sz val="9"/>
        <rFont val="Arial"/>
        <family val="2"/>
      </rPr>
      <t>2010 - 2023**</t>
    </r>
  </si>
  <si>
    <t>National Accounts, 2023</t>
  </si>
  <si>
    <r>
      <t xml:space="preserve">جدول 37: إجمالي إيرادات ونفقات الحكومة العامة </t>
    </r>
    <r>
      <rPr>
        <b/>
        <sz val="9"/>
        <rFont val="Arial"/>
        <family val="2"/>
      </rPr>
      <t>2010 - 2023</t>
    </r>
    <r>
      <rPr>
        <b/>
        <sz val="10"/>
        <rFont val="Arial"/>
        <family val="2"/>
      </rPr>
      <t>*</t>
    </r>
  </si>
  <si>
    <t>الناتج المحلي الإجمالي بالأسعار الجارية 2010 - 2023</t>
  </si>
  <si>
    <t>المساهمة في الناتج المحلي الإجمالي بالأسعار الجارية 2010 - 2023</t>
  </si>
  <si>
    <t>معدل نمو الناتج المحلي الإجمالي بالأسعار الجارية 2010 - 2023</t>
  </si>
  <si>
    <t>الناتج المحلي الإجمالي بالأسعار الثابتة (سنة الأساس 2010) 2010 - 2023</t>
  </si>
  <si>
    <t xml:space="preserve">المساهمة في الناتج المحلي الإجمالي بالأسعار الثابتة (سنة الأساس 2010) 2010 - 2023 </t>
  </si>
  <si>
    <t xml:space="preserve">معدل نمو الناتج المحلي الإجمالي بالأسعار الثابتة (سنة الأساس 2010) 2010 - 2023 </t>
  </si>
  <si>
    <t>الناتج المحلي الإجمالي بنهج الإنفاق بالأسعار الجارية 2010 - 2023</t>
  </si>
  <si>
    <t>المساهمة في الناتج المحلي الإجمالي بنهج الإنفاق بالأسعار الجارية 2010 - 2023</t>
  </si>
  <si>
    <t xml:space="preserve">معدل نمو الناتج المحلي الإجمالي بنهج الانفاق بالأسعار الجارية 2010 - 2023 </t>
  </si>
  <si>
    <t>الناتج المحلي الإجمالي بنهج الانفاق بالأسعار الجارية 2010 - 2023</t>
  </si>
  <si>
    <t>الناتج المحلي الإجمالي بنهج الانفاق بالأسعار الثابتة (سنة الأساس 2010) 2010 - 2023</t>
  </si>
  <si>
    <t>المساهمة في الناتج المحلي الإجمالي بنهج الانفاق بالأسعار الثابتة (سنة الأساس 2010) 2010 - 2023</t>
  </si>
  <si>
    <t xml:space="preserve">حساب السلع والخدمات 2010 - 2016 </t>
  </si>
  <si>
    <t>حساب السلع والخدمات 2010 - 2016</t>
  </si>
  <si>
    <t>حصة الفرد من المؤشرات الاقتصادية الرئيسية  لدولة الإمارات العربية المتحدة 2010 - 2023</t>
  </si>
  <si>
    <t>نفقات الحكومة العامة 2010 - 2023</t>
  </si>
  <si>
    <t>إيرادات الحكومة العامة 2010 - 2023</t>
  </si>
  <si>
    <t>إجمالي إيرادات ونفقات الحكومة العامة 2010 - 2023</t>
  </si>
  <si>
    <t>المتغيرات الاقتصادية الرئيسية لدولة الإمارات العربية المتحدة 2010 - 2023</t>
  </si>
  <si>
    <t>معدل نمو المتغيرات الاقتصادية الرئيسية لدولة الإمارات العربية المتحدة 2010 - 2023</t>
  </si>
  <si>
    <t>حساب السلع والخدمات  2016 - 2023</t>
  </si>
  <si>
    <t>حساب السلع والخدمات 2016 - 2023</t>
  </si>
  <si>
    <t>اجمالي تكوين رأس المال حسب القطاعات / الأنشطة الاقتصادية 2010 - 2023</t>
  </si>
  <si>
    <t>تعويضات المشتغلين حسب القطاعات/ الأنشطة الاقتصادية 2010 - 2023</t>
  </si>
  <si>
    <t>الاستهلاك الوسيط حسب القطاعات / الأنشطة الاقتصادية 2010 - 2023</t>
  </si>
  <si>
    <t>قيمة الإنتاج حسب القطاعات/ الأنشطة الاقتصادية 2010 - 2023</t>
  </si>
  <si>
    <t>الاستهلاك الوسيط حسب القطاعات / الأنشطة الاقتصادية  2010 - 2023</t>
  </si>
  <si>
    <t>قيمة الإنتاج حسب القطاعات / الأنشطة الاقتصادية 2010 - 2023</t>
  </si>
  <si>
    <t>معدل نمو الناتج المحلي الإجمالي بنهج الانفاق بالأسعار الثابتة (سنة الأساس 2010) 2010 - 2023</t>
  </si>
  <si>
    <t xml:space="preserve"> Gross Domestic Product at Constant Prices (base year 2010), 2010 - 2023</t>
  </si>
  <si>
    <t xml:space="preserve">Goods and Services Account, 2010 - 2016 </t>
  </si>
  <si>
    <t>General Government Expenditure, 2010 - 2023</t>
  </si>
  <si>
    <t>General Government  Revenues, 2010 - 2023</t>
  </si>
  <si>
    <t>Total General Government Revenues and Expenditure, 2010 - 2023</t>
  </si>
  <si>
    <t>U.A.E Main Economic Indicators Per Capita, 2010 - 2023</t>
  </si>
  <si>
    <t>United Arab Emirates Main Economic Variables, 2010 - 2023</t>
  </si>
  <si>
    <t>Growth Rate of UAE Main Economic Variables for the period 2010 - 2023</t>
  </si>
  <si>
    <t>U.A.E. Main Economic Indicators Per Capit, 2010 - 2023</t>
  </si>
  <si>
    <t>Goods and Services Account, 2016 - 2023</t>
  </si>
  <si>
    <t>Goods and Services Account for the period 2016 - 2023</t>
  </si>
  <si>
    <t>Gross Capital Formation by Economic Activites/Sectors, 2010 - 2023</t>
  </si>
  <si>
    <t>Compensation of Employees by Economic Activites/Sectors, 2010 - 2023</t>
  </si>
  <si>
    <t xml:space="preserve">Intermediat Consumption by Economic Activites/Sectors, 2010 - 2023  </t>
  </si>
  <si>
    <t>Production by Economic Activites/Sectors, 2010 - 2023</t>
  </si>
  <si>
    <t xml:space="preserve">Intermediat Consumption by Economic Aactivites/Sectors, 2010 - 2023  </t>
  </si>
  <si>
    <t>Gross Domestic Product by Expenditure Approch at Constant Prices (base year 2010) , 2010 - 2023</t>
  </si>
  <si>
    <t>Gross Domestic Product Growth Rate by Eexpenditure Approch at Constant Pprices (base year 2010), 2010 - 2023</t>
  </si>
  <si>
    <t>Gross Domestic Product Contribution by Expenditure Approch at Constant Prices (base year 2010), 2010 - 2023</t>
  </si>
  <si>
    <t>Gross Domestic Product by Expenditure Approch at Constant Prices (base year 2010), 2010 - 2023</t>
  </si>
  <si>
    <t>Gross Domestic Product by Expenditure Approch at Current Prices, 2010 - 2023</t>
  </si>
  <si>
    <t>Gross Domestic Product Growth Rates by Expenditure Approch at Current Prices, 2010 - 2023</t>
  </si>
  <si>
    <t>Gross Domestic Product Contribution by Expenditure Approch at Current Prices, 2010 - 2023</t>
  </si>
  <si>
    <t>Gross Domestic Product at Current Prices, 2010 - 2023</t>
  </si>
  <si>
    <t>Percentage of Gross Domestic Product Contribution at Current Prices,  2010 - 2023</t>
  </si>
  <si>
    <t>Gross Domestic Product Growth Rates at Current Pricess, 2010 - 2023</t>
  </si>
  <si>
    <t>Gross Domestic Product at Current Prices,  2010 - 2023</t>
  </si>
  <si>
    <t>Gross Domestic Product at Constant Prices (base year 2010), 2010 - 2023</t>
  </si>
  <si>
    <t>Gross Domestic Product Contribution at Constant Prices (base year 2010), 2010 - 2023</t>
  </si>
  <si>
    <t>Gross Domestic Product Growth Rates at Constant Prices (base year 2010), 2010 - 2023</t>
  </si>
  <si>
    <t>Source:  Federal Competitiveness &amp; Statistics Centre</t>
  </si>
  <si>
    <t>Federal Competitiveness and statistics Centre 
Local Statistical Centres 
Central Bank of the UAE
Ministry of Finance
Federal Authority for Identity, Citizenship, Customs and Port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</si>
</sst>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_);_(* \(#,##0.00\);_(* &quot;-&quot;??_);_(@_)"/>
    <numFmt numFmtId="165" formatCode="_-* #,##0.00_-;_-* #,##0.00\-;_-* &quot;-&quot;??_-;_-@_-"/>
    <numFmt numFmtId="166" formatCode="0.000"/>
    <numFmt numFmtId="167" formatCode="0.0"/>
    <numFmt numFmtId="168" formatCode="_-* #,##0_-;_-* #,##0\-;_-* &quot;-&quot;??_-;_-@_-"/>
    <numFmt numFmtId="169" formatCode="_-* #,##0.0_-;_-* #,##0.0\-;_-* &quot;-&quot;??_-;_-@_-"/>
    <numFmt numFmtId="170" formatCode="0.0%"/>
    <numFmt numFmtId="171" formatCode="#,##0_ ;\-#,##0\ "/>
    <numFmt numFmtId="172" formatCode="_(* #,##0.0_);_(* \(#,##0.0\);_(* &quot;-&quot;??_);_(@_)"/>
    <numFmt numFmtId="173" formatCode="_(* #,##0_);_(* \(#,##0\);_(* &quot;-&quot;??_);_(@_)"/>
    <numFmt numFmtId="174" formatCode="_-* #,##0.0000_-;_-* #,##0.0000\-;_-* &quot;-&quot;??_-;_-@_-"/>
  </numFmts>
  <fonts count="50">
    <font>
      <sz val="10"/>
      <name val="Arial"/>
      <charset val="178"/>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10"/>
      <name val="Arial"/>
      <family val="2"/>
    </font>
    <font>
      <sz val="10"/>
      <color theme="1"/>
      <name val="Calibri"/>
      <family val="2"/>
      <charset val="178"/>
      <scheme val="minor"/>
    </font>
    <font>
      <b/>
      <sz val="10"/>
      <name val="Arial"/>
      <family val="2"/>
    </font>
    <font>
      <sz val="9"/>
      <name val="Arial"/>
      <family val="2"/>
    </font>
    <font>
      <b/>
      <sz val="9"/>
      <name val="Arial"/>
      <family val="2"/>
    </font>
    <font>
      <b/>
      <sz val="10"/>
      <color theme="0"/>
      <name val="Arial"/>
      <family val="2"/>
    </font>
    <font>
      <b/>
      <sz val="9"/>
      <color theme="0"/>
      <name val="Arial"/>
      <family val="2"/>
    </font>
    <font>
      <sz val="10"/>
      <color indexed="63"/>
      <name val="Arial"/>
      <family val="2"/>
    </font>
    <font>
      <sz val="9"/>
      <color indexed="63"/>
      <name val="Arial"/>
      <family val="2"/>
    </font>
    <font>
      <sz val="9"/>
      <color rgb="FF3F4042"/>
      <name val="Arial"/>
      <family val="2"/>
    </font>
    <font>
      <i/>
      <sz val="10"/>
      <name val="Arial"/>
      <family val="2"/>
    </font>
    <font>
      <i/>
      <sz val="9"/>
      <name val="Arial"/>
      <family val="2"/>
    </font>
    <font>
      <b/>
      <sz val="16"/>
      <name val="Arial"/>
      <family val="2"/>
    </font>
    <font>
      <sz val="12"/>
      <name val="Arial"/>
      <family val="2"/>
    </font>
    <font>
      <b/>
      <sz val="9"/>
      <color rgb="FF3F4042"/>
      <name val="Arial"/>
      <family val="2"/>
    </font>
    <font>
      <b/>
      <sz val="9"/>
      <color indexed="63"/>
      <name val="Arial"/>
      <family val="2"/>
    </font>
    <font>
      <b/>
      <sz val="10"/>
      <color indexed="63"/>
      <name val="Arial"/>
      <family val="2"/>
    </font>
    <font>
      <sz val="16"/>
      <name val="Arial"/>
      <family val="2"/>
    </font>
    <font>
      <u/>
      <sz val="10"/>
      <color theme="10"/>
      <name val="Arial"/>
      <family val="2"/>
    </font>
    <font>
      <sz val="10"/>
      <name val="Arial"/>
      <family val="2"/>
    </font>
    <font>
      <sz val="9"/>
      <color theme="1"/>
      <name val="Arial"/>
      <family val="2"/>
    </font>
    <font>
      <sz val="12"/>
      <color theme="9" tint="-0.249977111117893"/>
      <name val="Arial"/>
      <family val="2"/>
    </font>
    <font>
      <u/>
      <sz val="11"/>
      <color theme="10"/>
      <name val="Calibri"/>
      <family val="2"/>
      <scheme val="minor"/>
    </font>
    <font>
      <sz val="11"/>
      <color theme="1"/>
      <name val="Calibri"/>
      <family val="2"/>
      <charset val="178"/>
      <scheme val="minor"/>
    </font>
    <font>
      <sz val="8"/>
      <name val="Wisoft pro"/>
    </font>
    <font>
      <sz val="8"/>
      <name val="GE SS Two Light"/>
      <family val="1"/>
      <charset val="178"/>
    </font>
    <font>
      <b/>
      <sz val="12"/>
      <name val="Arial"/>
      <family val="2"/>
    </font>
    <font>
      <sz val="11"/>
      <color indexed="8"/>
      <name val="Calibri"/>
      <family val="2"/>
      <scheme val="minor"/>
    </font>
    <font>
      <sz val="10"/>
      <name val="Tms Rmn"/>
      <charset val="178"/>
    </font>
    <font>
      <sz val="6.15"/>
      <name val="Arial"/>
      <family val="2"/>
    </font>
    <font>
      <b/>
      <sz val="10"/>
      <color theme="1"/>
      <name val="Arial"/>
      <family val="2"/>
    </font>
    <font>
      <b/>
      <sz val="11"/>
      <name val="Arial"/>
      <family val="2"/>
    </font>
    <font>
      <b/>
      <sz val="8"/>
      <name val="Arial"/>
      <family val="2"/>
    </font>
    <font>
      <sz val="12"/>
      <color rgb="FFFF0000"/>
      <name val="Arial"/>
      <family val="2"/>
    </font>
    <font>
      <sz val="9"/>
      <color theme="0"/>
      <name val="Arial"/>
      <family val="2"/>
    </font>
    <font>
      <sz val="10"/>
      <color theme="1"/>
      <name val="Arial"/>
      <family val="2"/>
    </font>
    <font>
      <b/>
      <sz val="9"/>
      <color rgb="FF000000"/>
      <name val="Arial"/>
      <family val="2"/>
    </font>
    <font>
      <sz val="9"/>
      <color rgb="FF000000"/>
      <name val="Arial"/>
      <family val="2"/>
    </font>
    <font>
      <b/>
      <sz val="9"/>
      <color theme="1"/>
      <name val="Arial"/>
      <family val="2"/>
    </font>
    <font>
      <sz val="10"/>
      <color theme="1"/>
      <name val="Calibri"/>
      <family val="2"/>
      <scheme val="minor"/>
    </font>
    <font>
      <u/>
      <sz val="10"/>
      <color theme="10"/>
      <name val="Calibri"/>
      <family val="2"/>
      <scheme val="minor"/>
    </font>
    <font>
      <u/>
      <sz val="10"/>
      <name val="Arial"/>
      <family val="2"/>
    </font>
    <font>
      <sz val="9"/>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B68A35"/>
        <bgColor indexed="64"/>
      </patternFill>
    </fill>
    <fill>
      <patternFill patternType="solid">
        <fgColor theme="0" tint="-4.9989318521683403E-2"/>
        <bgColor indexed="64"/>
      </patternFill>
    </fill>
    <fill>
      <patternFill patternType="solid">
        <fgColor rgb="FFE4E4E4"/>
        <bgColor indexed="64"/>
      </patternFill>
    </fill>
  </fills>
  <borders count="4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rgb="FFB68A35"/>
      </top>
      <bottom style="thin">
        <color theme="0"/>
      </bottom>
      <diagonal/>
    </border>
    <border>
      <left/>
      <right/>
      <top style="thin">
        <color rgb="FFB68A35"/>
      </top>
      <bottom/>
      <diagonal/>
    </border>
    <border>
      <left/>
      <right/>
      <top/>
      <bottom style="thin">
        <color theme="0"/>
      </bottom>
      <diagonal/>
    </border>
    <border>
      <left style="thin">
        <color theme="0"/>
      </left>
      <right/>
      <top style="thin">
        <color theme="0"/>
      </top>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top style="thin">
        <color rgb="FFB68A35"/>
      </top>
      <bottom style="thin">
        <color theme="0"/>
      </bottom>
      <diagonal/>
    </border>
    <border>
      <left/>
      <right style="thin">
        <color theme="0"/>
      </right>
      <top/>
      <bottom/>
      <diagonal/>
    </border>
    <border>
      <left style="thin">
        <color theme="0"/>
      </left>
      <right style="thin">
        <color theme="0"/>
      </right>
      <top style="thin">
        <color rgb="FFB68A35"/>
      </top>
      <bottom/>
      <diagonal/>
    </border>
    <border>
      <left/>
      <right/>
      <top/>
      <bottom style="medium">
        <color rgb="FFB68A35"/>
      </bottom>
      <diagonal/>
    </border>
    <border>
      <left/>
      <right/>
      <top/>
      <bottom style="thin">
        <color rgb="FFB68A35"/>
      </bottom>
      <diagonal/>
    </border>
    <border>
      <left style="thin">
        <color theme="0"/>
      </left>
      <right/>
      <top/>
      <bottom/>
      <diagonal/>
    </border>
    <border>
      <left/>
      <right/>
      <top style="thin">
        <color rgb="FFB68A35"/>
      </top>
      <bottom style="medium">
        <color rgb="FFB68A35"/>
      </bottom>
      <diagonal/>
    </border>
    <border>
      <left/>
      <right/>
      <top style="medium">
        <color rgb="FFB68A35"/>
      </top>
      <bottom/>
      <diagonal/>
    </border>
    <border>
      <left/>
      <right/>
      <top style="thin">
        <color theme="0"/>
      </top>
      <bottom/>
      <diagonal/>
    </border>
    <border>
      <left style="thin">
        <color theme="0"/>
      </left>
      <right/>
      <top style="thin">
        <color rgb="FFB68A35"/>
      </top>
      <bottom/>
      <diagonal/>
    </border>
    <border>
      <left/>
      <right style="thin">
        <color theme="0"/>
      </right>
      <top/>
      <bottom style="medium">
        <color rgb="FFB68A35"/>
      </bottom>
      <diagonal/>
    </border>
    <border>
      <left style="thin">
        <color theme="0"/>
      </left>
      <right/>
      <top/>
      <bottom style="thin">
        <color rgb="FFB68A35"/>
      </bottom>
      <diagonal/>
    </border>
    <border diagonalDown="1">
      <left style="thin">
        <color theme="0"/>
      </left>
      <right/>
      <top/>
      <bottom/>
      <diagonal style="thin">
        <color theme="0"/>
      </diagonal>
    </border>
    <border>
      <left style="thin">
        <color theme="0"/>
      </left>
      <right style="thin">
        <color theme="0"/>
      </right>
      <top style="thin">
        <color theme="0"/>
      </top>
      <bottom style="thin">
        <color rgb="FFB68A35"/>
      </bottom>
      <diagonal/>
    </border>
    <border>
      <left/>
      <right/>
      <top style="thin">
        <color theme="0"/>
      </top>
      <bottom style="thin">
        <color theme="0"/>
      </bottom>
      <diagonal/>
    </border>
    <border>
      <left style="thin">
        <color theme="0"/>
      </left>
      <right style="thin">
        <color theme="0"/>
      </right>
      <top style="thin">
        <color theme="0"/>
      </top>
      <bottom style="medium">
        <color rgb="FFB68A35"/>
      </bottom>
      <diagonal/>
    </border>
    <border>
      <left style="thin">
        <color theme="0"/>
      </left>
      <right/>
      <top style="thin">
        <color rgb="FFB68A35"/>
      </top>
      <bottom style="medium">
        <color rgb="FFB68A35"/>
      </bottom>
      <diagonal/>
    </border>
    <border>
      <left style="thin">
        <color theme="0"/>
      </left>
      <right style="thin">
        <color theme="0"/>
      </right>
      <top style="thin">
        <color rgb="FFB68A35"/>
      </top>
      <bottom style="medium">
        <color rgb="FFB68A35"/>
      </bottom>
      <diagonal/>
    </border>
    <border>
      <left style="thin">
        <color theme="0"/>
      </left>
      <right style="thin">
        <color rgb="FFB68A35"/>
      </right>
      <top style="thin">
        <color rgb="FFB68A35"/>
      </top>
      <bottom style="thin">
        <color theme="0"/>
      </bottom>
      <diagonal/>
    </border>
    <border>
      <left style="thin">
        <color rgb="FFB68A35"/>
      </left>
      <right/>
      <top/>
      <bottom/>
      <diagonal/>
    </border>
    <border>
      <left style="thin">
        <color theme="0"/>
      </left>
      <right/>
      <top style="thin">
        <color theme="0"/>
      </top>
      <bottom style="medium">
        <color rgb="FFB68A35"/>
      </bottom>
      <diagonal/>
    </border>
    <border>
      <left style="thin">
        <color rgb="FFB68A35"/>
      </left>
      <right/>
      <top style="thin">
        <color theme="0"/>
      </top>
      <bottom/>
      <diagonal/>
    </border>
    <border>
      <left style="thin">
        <color rgb="FFB68A35"/>
      </left>
      <right/>
      <top/>
      <bottom style="medium">
        <color rgb="FFB68A35"/>
      </bottom>
      <diagonal/>
    </border>
    <border>
      <left/>
      <right/>
      <top style="thin">
        <color theme="0"/>
      </top>
      <bottom style="medium">
        <color rgb="FFB68A35"/>
      </bottom>
      <diagonal/>
    </border>
    <border>
      <left/>
      <right style="thin">
        <color rgb="FFB68A35"/>
      </right>
      <top/>
      <bottom style="medium">
        <color rgb="FFB68A35"/>
      </bottom>
      <diagonal/>
    </border>
    <border>
      <left/>
      <right style="thin">
        <color theme="0"/>
      </right>
      <top style="thin">
        <color theme="0"/>
      </top>
      <bottom style="thin">
        <color rgb="FFB68A35"/>
      </bottom>
      <diagonal/>
    </border>
    <border>
      <left/>
      <right/>
      <top style="thin">
        <color theme="0"/>
      </top>
      <bottom style="thin">
        <color rgb="FFB68A35"/>
      </bottom>
      <diagonal/>
    </border>
    <border>
      <left style="hair">
        <color auto="1"/>
      </left>
      <right style="hair">
        <color auto="1"/>
      </right>
      <top style="hair">
        <color auto="1"/>
      </top>
      <bottom style="hair">
        <color auto="1"/>
      </bottom>
      <diagonal/>
    </border>
    <border>
      <left/>
      <right/>
      <top style="medium">
        <color rgb="FFB68A35"/>
      </top>
      <bottom style="thin">
        <color theme="0"/>
      </bottom>
      <diagonal/>
    </border>
    <border>
      <left/>
      <right/>
      <top style="thin">
        <color rgb="FFB68A35"/>
      </top>
      <bottom style="thin">
        <color rgb="FFB68A35"/>
      </bottom>
      <diagonal/>
    </border>
    <border>
      <left style="thin">
        <color rgb="FFB68A35"/>
      </left>
      <right/>
      <top style="thin">
        <color rgb="FFB68A35"/>
      </top>
      <bottom/>
      <diagonal/>
    </border>
    <border>
      <left style="thin">
        <color rgb="FFB68A35"/>
      </left>
      <right/>
      <top/>
      <bottom style="thin">
        <color rgb="FFB68A35"/>
      </bottom>
      <diagonal/>
    </border>
  </borders>
  <cellStyleXfs count="35">
    <xf numFmtId="0" fontId="0" fillId="0" borderId="0"/>
    <xf numFmtId="165" fontId="4" fillId="0" borderId="0" applyFont="0" applyFill="0" applyBorder="0" applyAlignment="0" applyProtection="0"/>
    <xf numFmtId="165" fontId="7" fillId="0" borderId="0" applyFont="0" applyFill="0" applyBorder="0" applyAlignment="0" applyProtection="0"/>
    <xf numFmtId="0" fontId="7" fillId="0" borderId="0"/>
    <xf numFmtId="0" fontId="8" fillId="0" borderId="0"/>
    <xf numFmtId="0" fontId="6" fillId="0" borderId="0"/>
    <xf numFmtId="0" fontId="6" fillId="0" borderId="0"/>
    <xf numFmtId="0" fontId="4" fillId="0" borderId="0"/>
    <xf numFmtId="165"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165" fontId="4" fillId="0" borderId="0" applyFont="0" applyFill="0" applyBorder="0" applyAlignment="0" applyProtection="0"/>
    <xf numFmtId="9" fontId="26" fillId="0" borderId="0" applyFont="0" applyFill="0" applyBorder="0" applyAlignment="0" applyProtection="0"/>
    <xf numFmtId="9" fontId="4" fillId="0" borderId="0" applyFont="0" applyFill="0" applyBorder="0" applyAlignment="0" applyProtection="0"/>
    <xf numFmtId="0" fontId="3" fillId="0" borderId="0"/>
    <xf numFmtId="0" fontId="29" fillId="0" borderId="0" applyNumberFormat="0" applyFill="0" applyBorder="0" applyAlignment="0" applyProtection="0"/>
    <xf numFmtId="0" fontId="30" fillId="0" borderId="0"/>
    <xf numFmtId="0" fontId="4" fillId="0" borderId="0"/>
    <xf numFmtId="0" fontId="4" fillId="0" borderId="0"/>
    <xf numFmtId="0" fontId="2" fillId="0" borderId="0"/>
    <xf numFmtId="164" fontId="2" fillId="0" borderId="0" applyFont="0" applyFill="0" applyBorder="0" applyAlignment="0" applyProtection="0"/>
    <xf numFmtId="0" fontId="2" fillId="0" borderId="0"/>
    <xf numFmtId="0" fontId="2" fillId="0" borderId="0"/>
    <xf numFmtId="0" fontId="25" fillId="0" borderId="0" applyNumberFormat="0" applyFill="0" applyBorder="0" applyAlignment="0" applyProtection="0"/>
    <xf numFmtId="0" fontId="2" fillId="0" borderId="0"/>
    <xf numFmtId="0" fontId="34" fillId="0" borderId="0"/>
    <xf numFmtId="9" fontId="34" fillId="0" borderId="0" applyFont="0" applyFill="0" applyBorder="0" applyAlignment="0" applyProtection="0"/>
    <xf numFmtId="164" fontId="34" fillId="0" borderId="0" applyFont="0" applyFill="0" applyBorder="0" applyAlignment="0" applyProtection="0"/>
    <xf numFmtId="0" fontId="35" fillId="0" borderId="0"/>
    <xf numFmtId="3" fontId="36" fillId="0" borderId="38" applyFill="0" applyProtection="0">
      <alignment horizontal="right"/>
    </xf>
    <xf numFmtId="0" fontId="1" fillId="0" borderId="0"/>
    <xf numFmtId="0" fontId="1" fillId="0" borderId="0"/>
    <xf numFmtId="0" fontId="29" fillId="0" borderId="0" applyNumberFormat="0" applyFill="0" applyBorder="0" applyAlignment="0" applyProtection="0"/>
  </cellStyleXfs>
  <cellXfs count="554">
    <xf numFmtId="0" fontId="0" fillId="0" borderId="0" xfId="0"/>
    <xf numFmtId="0" fontId="4" fillId="0" borderId="0" xfId="0" applyFont="1"/>
    <xf numFmtId="0" fontId="4" fillId="0" borderId="0" xfId="0" applyFont="1" applyAlignment="1">
      <alignment vertical="center"/>
    </xf>
    <xf numFmtId="0" fontId="13" fillId="4" borderId="4" xfId="4" applyFont="1" applyFill="1" applyBorder="1" applyAlignment="1">
      <alignment horizontal="center" vertical="center" wrapText="1"/>
    </xf>
    <xf numFmtId="0" fontId="19" fillId="3" borderId="0" xfId="3" applyFont="1" applyFill="1" applyAlignment="1">
      <alignment vertical="center"/>
    </xf>
    <xf numFmtId="0" fontId="13" fillId="4" borderId="0" xfId="4" applyFont="1" applyFill="1" applyAlignment="1">
      <alignment horizontal="center" vertical="center" wrapText="1"/>
    </xf>
    <xf numFmtId="0" fontId="23" fillId="0" borderId="0" xfId="6" applyFont="1" applyAlignment="1">
      <alignment vertical="center" wrapText="1"/>
    </xf>
    <xf numFmtId="0" fontId="11" fillId="3" borderId="0" xfId="10" applyFont="1" applyFill="1" applyAlignment="1">
      <alignment vertical="center"/>
    </xf>
    <xf numFmtId="0" fontId="10" fillId="0" borderId="0" xfId="0" applyFont="1"/>
    <xf numFmtId="168" fontId="4" fillId="0" borderId="0" xfId="0" applyNumberFormat="1" applyFont="1"/>
    <xf numFmtId="0" fontId="10" fillId="0" borderId="0" xfId="0" applyFont="1" applyAlignment="1">
      <alignment vertical="center" readingOrder="2"/>
    </xf>
    <xf numFmtId="168" fontId="10" fillId="0" borderId="0" xfId="0" applyNumberFormat="1" applyFont="1" applyAlignment="1">
      <alignment vertical="center" readingOrder="2"/>
    </xf>
    <xf numFmtId="168" fontId="10" fillId="0" borderId="0" xfId="0" applyNumberFormat="1" applyFont="1" applyAlignment="1">
      <alignment vertical="center"/>
    </xf>
    <xf numFmtId="168" fontId="10" fillId="0" borderId="0" xfId="0" applyNumberFormat="1" applyFont="1"/>
    <xf numFmtId="0" fontId="5" fillId="0" borderId="0" xfId="0" applyFont="1"/>
    <xf numFmtId="0" fontId="11" fillId="3" borderId="0" xfId="3" applyFont="1" applyFill="1" applyAlignment="1">
      <alignment vertical="center"/>
    </xf>
    <xf numFmtId="0" fontId="9" fillId="3" borderId="0" xfId="3" applyFont="1" applyFill="1" applyAlignment="1">
      <alignment vertical="center"/>
    </xf>
    <xf numFmtId="0" fontId="23" fillId="0" borderId="0" xfId="7" applyFont="1" applyAlignment="1">
      <alignment horizontal="right" vertical="center" wrapText="1"/>
    </xf>
    <xf numFmtId="0" fontId="22" fillId="0" borderId="0" xfId="7" applyFont="1" applyAlignment="1">
      <alignment horizontal="left" vertical="center" wrapText="1"/>
    </xf>
    <xf numFmtId="0" fontId="9" fillId="3" borderId="0" xfId="10" applyFont="1" applyFill="1" applyAlignment="1">
      <alignment vertical="center"/>
    </xf>
    <xf numFmtId="0" fontId="11" fillId="3" borderId="14" xfId="4" applyFont="1" applyFill="1" applyBorder="1" applyAlignment="1">
      <alignment horizontal="center" vertical="center" wrapText="1"/>
    </xf>
    <xf numFmtId="0" fontId="10" fillId="3" borderId="0" xfId="0" applyFont="1" applyFill="1" applyAlignment="1">
      <alignment vertical="center"/>
    </xf>
    <xf numFmtId="0" fontId="10" fillId="0" borderId="0" xfId="0" applyFont="1" applyAlignment="1">
      <alignment vertical="center"/>
    </xf>
    <xf numFmtId="0" fontId="22" fillId="0" borderId="0" xfId="6" applyFont="1" applyAlignment="1">
      <alignment vertical="center" wrapText="1"/>
    </xf>
    <xf numFmtId="0" fontId="22" fillId="3" borderId="3" xfId="4" applyFont="1" applyFill="1" applyBorder="1" applyAlignment="1">
      <alignment vertical="center" wrapText="1"/>
    </xf>
    <xf numFmtId="166" fontId="10" fillId="0" borderId="0" xfId="0" applyNumberFormat="1" applyFont="1"/>
    <xf numFmtId="0" fontId="23" fillId="3" borderId="3" xfId="4" applyFont="1" applyFill="1" applyBorder="1" applyAlignment="1">
      <alignment vertical="center" wrapText="1"/>
    </xf>
    <xf numFmtId="0" fontId="17" fillId="0" borderId="0" xfId="0" applyFont="1" applyAlignment="1">
      <alignment horizontal="right" readingOrder="2"/>
    </xf>
    <xf numFmtId="0" fontId="4" fillId="0" borderId="0" xfId="0" applyFont="1" applyAlignment="1">
      <alignment horizontal="right" vertical="center" readingOrder="2"/>
    </xf>
    <xf numFmtId="3" fontId="11" fillId="2" borderId="0" xfId="0" applyNumberFormat="1" applyFont="1" applyFill="1" applyAlignment="1">
      <alignment horizontal="right" vertical="center"/>
    </xf>
    <xf numFmtId="0" fontId="4" fillId="0" borderId="0" xfId="0" applyFont="1" applyAlignment="1">
      <alignment horizontal="center"/>
    </xf>
    <xf numFmtId="168" fontId="11" fillId="3" borderId="0" xfId="1" applyNumberFormat="1" applyFont="1" applyFill="1" applyBorder="1" applyAlignment="1">
      <alignment horizontal="center" vertical="center" wrapText="1"/>
    </xf>
    <xf numFmtId="0" fontId="11" fillId="3" borderId="0" xfId="0" applyFont="1" applyFill="1" applyAlignment="1">
      <alignment horizontal="left" vertical="center" wrapText="1" readingOrder="1"/>
    </xf>
    <xf numFmtId="0" fontId="18" fillId="0" borderId="0" xfId="0" applyFont="1"/>
    <xf numFmtId="0" fontId="4" fillId="0" borderId="0" xfId="0" applyFont="1" applyAlignment="1">
      <alignment horizontal="right" readingOrder="2"/>
    </xf>
    <xf numFmtId="0" fontId="10" fillId="0" borderId="0" xfId="0" applyFont="1" applyAlignment="1">
      <alignment horizontal="left" vertical="center"/>
    </xf>
    <xf numFmtId="0" fontId="23" fillId="0" borderId="0" xfId="7" applyFont="1" applyAlignment="1">
      <alignment vertical="center" wrapText="1"/>
    </xf>
    <xf numFmtId="0" fontId="15" fillId="0" borderId="0" xfId="7" applyFont="1" applyAlignment="1">
      <alignment vertical="center" wrapText="1"/>
    </xf>
    <xf numFmtId="0" fontId="24" fillId="0" borderId="0" xfId="0" applyFont="1" applyAlignment="1">
      <alignment vertical="center"/>
    </xf>
    <xf numFmtId="2" fontId="24" fillId="0" borderId="0" xfId="0" applyNumberFormat="1" applyFont="1" applyAlignment="1">
      <alignment vertical="center"/>
    </xf>
    <xf numFmtId="0" fontId="11" fillId="0" borderId="0" xfId="0" applyFont="1" applyAlignment="1">
      <alignment vertical="center"/>
    </xf>
    <xf numFmtId="1" fontId="19" fillId="0" borderId="0" xfId="0" applyNumberFormat="1" applyFont="1" applyAlignment="1">
      <alignment vertical="center"/>
    </xf>
    <xf numFmtId="1" fontId="11" fillId="0" borderId="0" xfId="0" applyNumberFormat="1" applyFont="1" applyAlignment="1">
      <alignment vertical="center"/>
    </xf>
    <xf numFmtId="0" fontId="13" fillId="4" borderId="6" xfId="0" applyFont="1" applyFill="1" applyBorder="1" applyAlignment="1">
      <alignment horizontal="center" vertical="center"/>
    </xf>
    <xf numFmtId="0" fontId="9" fillId="3" borderId="0" xfId="0" applyFont="1" applyFill="1" applyAlignment="1">
      <alignment vertical="center" wrapText="1" readingOrder="2"/>
    </xf>
    <xf numFmtId="0" fontId="11" fillId="0" borderId="0" xfId="0" applyFont="1"/>
    <xf numFmtId="0" fontId="15" fillId="0" borderId="0" xfId="7" applyFont="1" applyAlignment="1">
      <alignment horizontal="left" vertical="center" wrapText="1"/>
    </xf>
    <xf numFmtId="0" fontId="14" fillId="0" borderId="0" xfId="7" applyFont="1" applyAlignment="1">
      <alignment horizontal="right" vertical="center" wrapText="1"/>
    </xf>
    <xf numFmtId="0" fontId="11" fillId="3" borderId="14" xfId="4" applyFont="1" applyFill="1" applyBorder="1" applyAlignment="1">
      <alignment horizontal="left" vertical="center" wrapText="1"/>
    </xf>
    <xf numFmtId="0" fontId="13" fillId="4" borderId="1" xfId="4" applyFont="1" applyFill="1" applyBorder="1" applyAlignment="1">
      <alignment horizontal="center" vertical="center" wrapText="1"/>
    </xf>
    <xf numFmtId="0" fontId="13" fillId="4" borderId="2" xfId="4" applyFont="1" applyFill="1" applyBorder="1" applyAlignment="1">
      <alignment horizontal="center" vertical="center" wrapText="1"/>
    </xf>
    <xf numFmtId="1" fontId="4" fillId="3" borderId="14" xfId="4" applyNumberFormat="1" applyFont="1" applyFill="1" applyBorder="1" applyAlignment="1">
      <alignment horizontal="right" vertical="center" wrapText="1"/>
    </xf>
    <xf numFmtId="0" fontId="10" fillId="3" borderId="14" xfId="4" applyFont="1" applyFill="1" applyBorder="1" applyAlignment="1">
      <alignment horizontal="left" vertical="center" wrapText="1"/>
    </xf>
    <xf numFmtId="0" fontId="10" fillId="0" borderId="0" xfId="0" applyFont="1" applyAlignment="1">
      <alignment horizontal="left"/>
    </xf>
    <xf numFmtId="0" fontId="11" fillId="3" borderId="0" xfId="0" applyFont="1" applyFill="1" applyAlignment="1">
      <alignment horizontal="center" vertical="center" wrapText="1" readingOrder="2"/>
    </xf>
    <xf numFmtId="1" fontId="9" fillId="3" borderId="0" xfId="0" applyNumberFormat="1" applyFont="1" applyFill="1" applyAlignment="1">
      <alignment horizontal="right" vertical="center"/>
    </xf>
    <xf numFmtId="168" fontId="11" fillId="0" borderId="0" xfId="1" applyNumberFormat="1" applyFont="1" applyFill="1" applyBorder="1" applyAlignment="1">
      <alignment horizontal="right" vertical="center" wrapText="1"/>
    </xf>
    <xf numFmtId="168" fontId="11" fillId="3" borderId="19" xfId="1" applyNumberFormat="1" applyFont="1" applyFill="1" applyBorder="1" applyAlignment="1">
      <alignment horizontal="center" vertical="center"/>
    </xf>
    <xf numFmtId="0" fontId="23" fillId="0" borderId="5" xfId="6" applyFont="1" applyBorder="1" applyAlignment="1">
      <alignment vertical="center" wrapText="1"/>
    </xf>
    <xf numFmtId="0" fontId="23" fillId="0" borderId="16" xfId="6" applyFont="1" applyBorder="1" applyAlignment="1">
      <alignment vertical="center" wrapText="1"/>
    </xf>
    <xf numFmtId="168" fontId="22" fillId="0" borderId="0" xfId="1" applyNumberFormat="1" applyFont="1" applyFill="1" applyBorder="1" applyAlignment="1">
      <alignment horizontal="center" vertical="center" wrapText="1"/>
    </xf>
    <xf numFmtId="1" fontId="10" fillId="0" borderId="0" xfId="0" applyNumberFormat="1" applyFont="1" applyAlignment="1">
      <alignment vertical="center"/>
    </xf>
    <xf numFmtId="0" fontId="22" fillId="3" borderId="20" xfId="4" applyFont="1" applyFill="1" applyBorder="1" applyAlignment="1">
      <alignment vertical="center" wrapText="1"/>
    </xf>
    <xf numFmtId="1" fontId="22" fillId="0" borderId="0" xfId="6" applyNumberFormat="1" applyFont="1" applyAlignment="1">
      <alignment horizontal="left" vertical="center" wrapText="1"/>
    </xf>
    <xf numFmtId="0" fontId="5" fillId="0" borderId="0" xfId="0" applyFont="1" applyAlignment="1">
      <alignment horizontal="left" vertical="center" readingOrder="1"/>
    </xf>
    <xf numFmtId="3" fontId="22" fillId="0" borderId="1" xfId="11" applyNumberFormat="1" applyFont="1" applyFill="1" applyBorder="1" applyAlignment="1">
      <alignment horizontal="center" vertical="center"/>
    </xf>
    <xf numFmtId="3" fontId="22" fillId="0" borderId="24" xfId="11" applyNumberFormat="1" applyFont="1" applyFill="1" applyBorder="1" applyAlignment="1">
      <alignment horizontal="center" vertical="center" wrapText="1"/>
    </xf>
    <xf numFmtId="0" fontId="11" fillId="3" borderId="14" xfId="4" applyFont="1" applyFill="1" applyBorder="1" applyAlignment="1">
      <alignment vertical="center" wrapText="1"/>
    </xf>
    <xf numFmtId="3" fontId="22" fillId="0" borderId="25" xfId="11" applyNumberFormat="1" applyFont="1" applyFill="1" applyBorder="1" applyAlignment="1">
      <alignment horizontal="center" vertical="center"/>
    </xf>
    <xf numFmtId="0" fontId="23" fillId="0" borderId="7" xfId="6" applyFont="1" applyBorder="1" applyAlignment="1">
      <alignment vertical="center" wrapText="1"/>
    </xf>
    <xf numFmtId="0" fontId="11" fillId="3" borderId="26" xfId="4" applyFont="1" applyFill="1" applyBorder="1" applyAlignment="1">
      <alignment horizontal="left" vertical="center" wrapText="1"/>
    </xf>
    <xf numFmtId="0" fontId="9" fillId="0" borderId="16" xfId="0" applyFont="1" applyBorder="1" applyAlignment="1">
      <alignment horizontal="justify" vertical="center" wrapText="1"/>
    </xf>
    <xf numFmtId="0" fontId="9" fillId="3" borderId="17" xfId="4" applyFont="1" applyFill="1" applyBorder="1" applyAlignment="1">
      <alignment vertical="center" wrapText="1"/>
    </xf>
    <xf numFmtId="0" fontId="9" fillId="3" borderId="17" xfId="4" applyFont="1" applyFill="1" applyBorder="1" applyAlignment="1">
      <alignment horizontal="right" vertical="center" wrapText="1"/>
    </xf>
    <xf numFmtId="1" fontId="11" fillId="3" borderId="17" xfId="4" applyNumberFormat="1" applyFont="1" applyFill="1" applyBorder="1" applyAlignment="1">
      <alignment horizontal="left" vertical="center" wrapText="1"/>
    </xf>
    <xf numFmtId="0" fontId="9" fillId="3" borderId="14" xfId="4" applyFont="1" applyFill="1" applyBorder="1" applyAlignment="1">
      <alignment vertical="center" wrapText="1"/>
    </xf>
    <xf numFmtId="0" fontId="10" fillId="0" borderId="0" xfId="9" applyFont="1" applyAlignment="1">
      <alignment vertical="center" readingOrder="2"/>
    </xf>
    <xf numFmtId="0" fontId="10" fillId="3" borderId="0" xfId="9" applyFont="1" applyFill="1" applyAlignment="1">
      <alignment vertical="center" readingOrder="2"/>
    </xf>
    <xf numFmtId="168" fontId="10" fillId="0" borderId="0" xfId="9" applyNumberFormat="1" applyFont="1" applyAlignment="1">
      <alignment vertical="center" readingOrder="2"/>
    </xf>
    <xf numFmtId="168" fontId="10" fillId="0" borderId="0" xfId="9" applyNumberFormat="1" applyFont="1" applyAlignment="1">
      <alignment vertical="center"/>
    </xf>
    <xf numFmtId="168" fontId="10" fillId="3" borderId="0" xfId="9" applyNumberFormat="1" applyFont="1" applyFill="1" applyAlignment="1">
      <alignment vertical="center"/>
    </xf>
    <xf numFmtId="0" fontId="5" fillId="3" borderId="0" xfId="9" applyFont="1" applyFill="1" applyAlignment="1">
      <alignment vertical="center"/>
    </xf>
    <xf numFmtId="0" fontId="23" fillId="0" borderId="14" xfId="7" applyFont="1" applyBorder="1" applyAlignment="1">
      <alignment horizontal="right" vertical="center" wrapText="1"/>
    </xf>
    <xf numFmtId="0" fontId="22" fillId="0" borderId="14" xfId="7" applyFont="1" applyBorder="1" applyAlignment="1">
      <alignment horizontal="left" vertical="center" wrapText="1"/>
    </xf>
    <xf numFmtId="168" fontId="11" fillId="3" borderId="14" xfId="1" applyNumberFormat="1" applyFont="1" applyFill="1" applyBorder="1" applyAlignment="1">
      <alignment horizontal="center" vertical="center" wrapText="1"/>
    </xf>
    <xf numFmtId="168" fontId="10" fillId="3" borderId="0" xfId="1" applyNumberFormat="1" applyFont="1" applyFill="1" applyBorder="1" applyAlignment="1">
      <alignment horizontal="right" vertical="center"/>
    </xf>
    <xf numFmtId="168" fontId="11" fillId="3" borderId="0" xfId="1" applyNumberFormat="1" applyFont="1" applyFill="1" applyBorder="1" applyAlignment="1">
      <alignment horizontal="center" vertical="center"/>
    </xf>
    <xf numFmtId="0" fontId="12" fillId="4" borderId="4" xfId="4" applyFont="1" applyFill="1" applyBorder="1" applyAlignment="1">
      <alignment horizontal="center" vertical="center" wrapText="1"/>
    </xf>
    <xf numFmtId="0" fontId="12" fillId="4" borderId="6" xfId="4" applyFont="1" applyFill="1" applyBorder="1" applyAlignment="1">
      <alignment horizontal="center" vertical="center" wrapText="1"/>
    </xf>
    <xf numFmtId="0" fontId="12" fillId="4" borderId="9" xfId="4" applyFont="1" applyFill="1" applyBorder="1" applyAlignment="1">
      <alignment horizontal="center" vertical="center" wrapText="1"/>
    </xf>
    <xf numFmtId="0" fontId="14" fillId="0" borderId="0" xfId="6" applyFont="1" applyAlignment="1">
      <alignment vertical="center" wrapText="1"/>
    </xf>
    <xf numFmtId="0" fontId="5" fillId="3" borderId="0" xfId="9" applyFont="1" applyFill="1" applyAlignment="1">
      <alignment vertical="center" wrapText="1"/>
    </xf>
    <xf numFmtId="168" fontId="11" fillId="3" borderId="14" xfId="1" applyNumberFormat="1" applyFont="1" applyFill="1" applyBorder="1" applyAlignment="1">
      <alignment horizontal="right" vertical="center" wrapText="1"/>
    </xf>
    <xf numFmtId="0" fontId="5" fillId="0" borderId="0" xfId="9" applyFont="1" applyAlignment="1">
      <alignment vertical="center"/>
    </xf>
    <xf numFmtId="3" fontId="11" fillId="3" borderId="17" xfId="1" applyNumberFormat="1" applyFont="1" applyFill="1" applyBorder="1" applyAlignment="1">
      <alignment vertical="center" wrapText="1"/>
    </xf>
    <xf numFmtId="3" fontId="16" fillId="3" borderId="0" xfId="0" applyNumberFormat="1" applyFont="1" applyFill="1" applyAlignment="1">
      <alignment horizontal="right" vertical="center"/>
    </xf>
    <xf numFmtId="3" fontId="16" fillId="3" borderId="0" xfId="1" applyNumberFormat="1" applyFont="1" applyFill="1" applyBorder="1" applyAlignment="1">
      <alignment vertical="center"/>
    </xf>
    <xf numFmtId="3" fontId="16" fillId="3" borderId="0" xfId="0" applyNumberFormat="1" applyFont="1" applyFill="1" applyAlignment="1">
      <alignment vertical="center"/>
    </xf>
    <xf numFmtId="168" fontId="10" fillId="3" borderId="14" xfId="1" applyNumberFormat="1" applyFont="1" applyFill="1" applyBorder="1" applyAlignment="1">
      <alignment horizontal="right" vertical="center"/>
    </xf>
    <xf numFmtId="0" fontId="4" fillId="0" borderId="0" xfId="9"/>
    <xf numFmtId="0" fontId="10" fillId="0" borderId="0" xfId="9" applyFont="1"/>
    <xf numFmtId="0" fontId="5" fillId="0" borderId="0" xfId="0" applyFont="1" applyAlignment="1">
      <alignment vertical="center"/>
    </xf>
    <xf numFmtId="0" fontId="5" fillId="0" borderId="0" xfId="9" applyFont="1"/>
    <xf numFmtId="0" fontId="13" fillId="4" borderId="9" xfId="4" applyFont="1" applyFill="1" applyBorder="1" applyAlignment="1">
      <alignment horizontal="center" vertical="center" wrapText="1"/>
    </xf>
    <xf numFmtId="168" fontId="21" fillId="3" borderId="0" xfId="1" applyNumberFormat="1" applyFont="1" applyFill="1" applyBorder="1" applyAlignment="1">
      <alignment horizontal="right" vertical="center"/>
    </xf>
    <xf numFmtId="168" fontId="22" fillId="3" borderId="3" xfId="1" applyNumberFormat="1" applyFont="1" applyFill="1" applyBorder="1" applyAlignment="1">
      <alignment horizontal="right" vertical="center" wrapText="1"/>
    </xf>
    <xf numFmtId="0" fontId="13" fillId="4" borderId="6" xfId="4" applyFont="1" applyFill="1" applyBorder="1" applyAlignment="1">
      <alignment horizontal="center" vertical="center" wrapText="1"/>
    </xf>
    <xf numFmtId="168" fontId="21" fillId="3" borderId="10" xfId="1" applyNumberFormat="1" applyFont="1" applyFill="1" applyBorder="1" applyAlignment="1">
      <alignment horizontal="right" vertical="center"/>
    </xf>
    <xf numFmtId="168" fontId="21" fillId="3" borderId="8" xfId="1" applyNumberFormat="1" applyFont="1" applyFill="1" applyBorder="1" applyAlignment="1">
      <alignment horizontal="right" vertical="center"/>
    </xf>
    <xf numFmtId="168" fontId="11" fillId="3" borderId="26" xfId="1" applyNumberFormat="1" applyFont="1" applyFill="1" applyBorder="1" applyAlignment="1">
      <alignment horizontal="right" vertical="center" wrapText="1"/>
    </xf>
    <xf numFmtId="1" fontId="22" fillId="0" borderId="19" xfId="6" applyNumberFormat="1" applyFont="1" applyBorder="1" applyAlignment="1">
      <alignment horizontal="left" vertical="center" wrapText="1"/>
    </xf>
    <xf numFmtId="1" fontId="11" fillId="3" borderId="28" xfId="4" applyNumberFormat="1" applyFont="1" applyFill="1" applyBorder="1" applyAlignment="1">
      <alignment horizontal="left" vertical="center" wrapText="1"/>
    </xf>
    <xf numFmtId="0" fontId="9" fillId="0" borderId="10" xfId="0" applyFont="1" applyBorder="1" applyAlignment="1">
      <alignment horizontal="justify" vertical="center" wrapText="1"/>
    </xf>
    <xf numFmtId="0" fontId="13" fillId="4" borderId="29" xfId="4" applyFont="1" applyFill="1" applyBorder="1" applyAlignment="1">
      <alignment horizontal="center" vertical="center" wrapText="1"/>
    </xf>
    <xf numFmtId="0" fontId="13" fillId="4" borderId="10" xfId="4" applyFont="1" applyFill="1" applyBorder="1" applyAlignment="1">
      <alignment horizontal="center" vertical="center" wrapText="1"/>
    </xf>
    <xf numFmtId="0" fontId="10" fillId="0" borderId="0" xfId="9" applyFont="1" applyAlignment="1">
      <alignment horizontal="center" vertical="center"/>
    </xf>
    <xf numFmtId="0" fontId="12" fillId="4" borderId="0" xfId="12" applyFont="1" applyFill="1" applyAlignment="1">
      <alignment horizontal="center" vertical="center" wrapText="1"/>
    </xf>
    <xf numFmtId="0" fontId="13" fillId="4" borderId="0" xfId="9" applyFont="1" applyFill="1" applyAlignment="1">
      <alignment horizontal="center" vertical="center" wrapText="1" readingOrder="2"/>
    </xf>
    <xf numFmtId="0" fontId="9" fillId="0" borderId="0" xfId="9" applyFont="1" applyAlignment="1">
      <alignment vertical="center"/>
    </xf>
    <xf numFmtId="0" fontId="11" fillId="0" borderId="0" xfId="9" applyFont="1" applyAlignment="1">
      <alignment vertical="center"/>
    </xf>
    <xf numFmtId="3" fontId="22" fillId="0" borderId="1" xfId="11" applyNumberFormat="1" applyFont="1" applyFill="1" applyBorder="1" applyAlignment="1">
      <alignment horizontal="right" vertical="center"/>
    </xf>
    <xf numFmtId="3" fontId="22" fillId="0" borderId="1" xfId="11" applyNumberFormat="1" applyFont="1" applyFill="1" applyBorder="1" applyAlignment="1">
      <alignment horizontal="right" vertical="center" wrapText="1"/>
    </xf>
    <xf numFmtId="3" fontId="22" fillId="0" borderId="24" xfId="11" applyNumberFormat="1" applyFont="1" applyFill="1" applyBorder="1" applyAlignment="1">
      <alignment horizontal="right" vertical="center" wrapText="1"/>
    </xf>
    <xf numFmtId="0" fontId="10" fillId="0" borderId="0" xfId="0" applyFont="1" applyAlignment="1">
      <alignment horizontal="center" vertical="center"/>
    </xf>
    <xf numFmtId="0" fontId="11" fillId="0" borderId="0" xfId="3" applyFont="1" applyAlignment="1">
      <alignment horizontal="center" vertical="center" wrapText="1"/>
    </xf>
    <xf numFmtId="0" fontId="11" fillId="0" borderId="0" xfId="3" applyFont="1" applyAlignment="1">
      <alignment horizontal="center" vertical="center"/>
    </xf>
    <xf numFmtId="0" fontId="11" fillId="3" borderId="0" xfId="12" applyFont="1" applyFill="1" applyAlignment="1">
      <alignment horizontal="left" vertical="center" wrapText="1"/>
    </xf>
    <xf numFmtId="1" fontId="9" fillId="0" borderId="0" xfId="7" applyNumberFormat="1" applyFont="1" applyAlignment="1">
      <alignment horizontal="right" vertical="center" wrapText="1"/>
    </xf>
    <xf numFmtId="0" fontId="11" fillId="3" borderId="0" xfId="12" applyFont="1" applyFill="1" applyAlignment="1">
      <alignment horizontal="center" vertical="center" wrapText="1"/>
    </xf>
    <xf numFmtId="1" fontId="4" fillId="0" borderId="0" xfId="7" applyNumberFormat="1" applyAlignment="1">
      <alignment horizontal="right" vertical="center" wrapText="1"/>
    </xf>
    <xf numFmtId="0" fontId="10" fillId="3" borderId="0" xfId="12" applyFont="1" applyFill="1" applyAlignment="1">
      <alignment horizontal="left" vertical="center" wrapText="1"/>
    </xf>
    <xf numFmtId="1" fontId="11" fillId="3" borderId="0" xfId="4" applyNumberFormat="1" applyFont="1" applyFill="1" applyAlignment="1">
      <alignment horizontal="left" vertical="center" wrapText="1"/>
    </xf>
    <xf numFmtId="1" fontId="10" fillId="0" borderId="0" xfId="7" applyNumberFormat="1" applyFont="1" applyAlignment="1">
      <alignment horizontal="right" vertical="center" wrapText="1"/>
    </xf>
    <xf numFmtId="168" fontId="4" fillId="0" borderId="0" xfId="0" applyNumberFormat="1" applyFont="1" applyAlignment="1">
      <alignment vertical="center"/>
    </xf>
    <xf numFmtId="169" fontId="21" fillId="3" borderId="0" xfId="1" applyNumberFormat="1" applyFont="1" applyFill="1" applyBorder="1" applyAlignment="1">
      <alignment horizontal="center" vertical="center"/>
    </xf>
    <xf numFmtId="9" fontId="4" fillId="0" borderId="0" xfId="14" applyFont="1"/>
    <xf numFmtId="170" fontId="4" fillId="0" borderId="0" xfId="14" applyNumberFormat="1" applyFont="1"/>
    <xf numFmtId="171" fontId="4" fillId="0" borderId="0" xfId="0" applyNumberFormat="1" applyFont="1" applyAlignment="1">
      <alignment vertical="center"/>
    </xf>
    <xf numFmtId="170" fontId="4" fillId="0" borderId="0" xfId="14" applyNumberFormat="1" applyFont="1" applyAlignment="1">
      <alignment vertical="center"/>
    </xf>
    <xf numFmtId="10" fontId="4" fillId="0" borderId="0" xfId="14" applyNumberFormat="1" applyFont="1" applyAlignment="1">
      <alignment vertical="center"/>
    </xf>
    <xf numFmtId="0" fontId="22" fillId="0" borderId="5" xfId="6" applyFont="1" applyBorder="1" applyAlignment="1">
      <alignment vertical="center" wrapText="1"/>
    </xf>
    <xf numFmtId="168" fontId="22" fillId="0" borderId="0" xfId="1" applyNumberFormat="1" applyFont="1" applyFill="1" applyBorder="1" applyAlignment="1">
      <alignment vertical="center"/>
    </xf>
    <xf numFmtId="0" fontId="9" fillId="3" borderId="17" xfId="0" applyFont="1" applyFill="1" applyBorder="1" applyAlignment="1">
      <alignment vertical="center"/>
    </xf>
    <xf numFmtId="168" fontId="22" fillId="0" borderId="17" xfId="1" applyNumberFormat="1" applyFont="1" applyFill="1" applyBorder="1" applyAlignment="1">
      <alignment horizontal="center" vertical="center" wrapText="1"/>
    </xf>
    <xf numFmtId="167" fontId="11" fillId="3" borderId="17" xfId="0" applyNumberFormat="1" applyFont="1" applyFill="1" applyBorder="1" applyAlignment="1">
      <alignment horizontal="left" vertical="center"/>
    </xf>
    <xf numFmtId="0" fontId="10" fillId="0" borderId="0" xfId="0" applyFont="1" applyAlignment="1">
      <alignment horizontal="left" vertical="center" readingOrder="1"/>
    </xf>
    <xf numFmtId="0" fontId="10" fillId="3" borderId="0" xfId="9" applyFont="1" applyFill="1" applyAlignment="1">
      <alignment vertical="center"/>
    </xf>
    <xf numFmtId="1" fontId="11" fillId="3" borderId="0" xfId="0" applyNumberFormat="1" applyFont="1" applyFill="1" applyAlignment="1">
      <alignment horizontal="left" vertical="center" wrapText="1" readingOrder="1"/>
    </xf>
    <xf numFmtId="168" fontId="11" fillId="0" borderId="0" xfId="0" applyNumberFormat="1" applyFont="1" applyAlignment="1">
      <alignment vertical="center" readingOrder="2"/>
    </xf>
    <xf numFmtId="0" fontId="11" fillId="3" borderId="0" xfId="9" applyFont="1" applyFill="1" applyAlignment="1">
      <alignment vertical="center" readingOrder="2"/>
    </xf>
    <xf numFmtId="168" fontId="11" fillId="0" borderId="0" xfId="9" applyNumberFormat="1" applyFont="1" applyAlignment="1">
      <alignment vertical="center" readingOrder="2"/>
    </xf>
    <xf numFmtId="168" fontId="11" fillId="0" borderId="0" xfId="9" applyNumberFormat="1" applyFont="1" applyAlignment="1">
      <alignment vertical="center"/>
    </xf>
    <xf numFmtId="168" fontId="11" fillId="3" borderId="0" xfId="9" applyNumberFormat="1" applyFont="1" applyFill="1" applyAlignment="1">
      <alignment vertical="center"/>
    </xf>
    <xf numFmtId="0" fontId="9" fillId="0" borderId="0" xfId="0" applyFont="1"/>
    <xf numFmtId="3" fontId="21" fillId="3" borderId="19" xfId="1" applyNumberFormat="1" applyFont="1" applyFill="1" applyBorder="1" applyAlignment="1">
      <alignment vertical="center"/>
    </xf>
    <xf numFmtId="3" fontId="21" fillId="3" borderId="0" xfId="1" applyNumberFormat="1" applyFont="1" applyFill="1" applyBorder="1" applyAlignment="1">
      <alignment vertical="center"/>
    </xf>
    <xf numFmtId="1" fontId="11" fillId="0" borderId="0" xfId="9" applyNumberFormat="1" applyFont="1" applyAlignment="1">
      <alignment vertical="center"/>
    </xf>
    <xf numFmtId="1" fontId="4" fillId="0" borderId="0" xfId="14" applyNumberFormat="1" applyFont="1" applyAlignment="1">
      <alignment vertical="center"/>
    </xf>
    <xf numFmtId="0" fontId="13" fillId="4" borderId="11" xfId="4" applyFont="1" applyFill="1" applyBorder="1" applyAlignment="1">
      <alignment horizontal="center" vertical="center" wrapText="1"/>
    </xf>
    <xf numFmtId="168" fontId="11" fillId="3" borderId="14" xfId="1" applyNumberFormat="1" applyFont="1" applyFill="1" applyBorder="1" applyAlignment="1">
      <alignment horizontal="left" vertical="center" wrapText="1"/>
    </xf>
    <xf numFmtId="0" fontId="12" fillId="4" borderId="0" xfId="10" applyFont="1" applyFill="1" applyAlignment="1">
      <alignment horizontal="right" vertical="center" readingOrder="2"/>
    </xf>
    <xf numFmtId="0" fontId="13" fillId="4" borderId="0" xfId="10" applyFont="1" applyFill="1" applyAlignment="1">
      <alignment horizontal="center" vertical="center" wrapText="1"/>
    </xf>
    <xf numFmtId="0" fontId="10" fillId="0" borderId="0" xfId="10" applyFont="1" applyAlignment="1">
      <alignment horizontal="center" vertical="center"/>
    </xf>
    <xf numFmtId="167" fontId="4" fillId="0" borderId="0" xfId="0" applyNumberFormat="1" applyFont="1" applyAlignment="1">
      <alignment vertical="center"/>
    </xf>
    <xf numFmtId="164" fontId="4" fillId="0" borderId="0" xfId="0" applyNumberFormat="1" applyFont="1" applyAlignment="1">
      <alignment vertical="center"/>
    </xf>
    <xf numFmtId="1" fontId="15" fillId="0" borderId="0" xfId="6" applyNumberFormat="1" applyFont="1" applyAlignment="1">
      <alignment horizontal="left" vertical="center" wrapText="1"/>
    </xf>
    <xf numFmtId="0" fontId="4" fillId="0" borderId="8" xfId="0" applyFont="1" applyBorder="1" applyAlignment="1">
      <alignment horizontal="justify" vertical="center" wrapText="1"/>
    </xf>
    <xf numFmtId="3" fontId="16" fillId="3" borderId="12" xfId="0" applyNumberFormat="1" applyFont="1" applyFill="1" applyBorder="1" applyAlignment="1">
      <alignment vertical="center"/>
    </xf>
    <xf numFmtId="1" fontId="15" fillId="0" borderId="8" xfId="6" applyNumberFormat="1" applyFont="1" applyBorder="1" applyAlignment="1">
      <alignment horizontal="left" vertical="center" wrapText="1"/>
    </xf>
    <xf numFmtId="3" fontId="21" fillId="3" borderId="0" xfId="0" applyNumberFormat="1" applyFont="1" applyFill="1" applyAlignment="1">
      <alignment horizontal="right" vertical="center"/>
    </xf>
    <xf numFmtId="168" fontId="4" fillId="0" borderId="0" xfId="1" applyNumberFormat="1" applyFont="1"/>
    <xf numFmtId="173" fontId="10" fillId="0" borderId="0" xfId="0" applyNumberFormat="1" applyFont="1"/>
    <xf numFmtId="168" fontId="4" fillId="0" borderId="0" xfId="9" applyNumberFormat="1"/>
    <xf numFmtId="2" fontId="4" fillId="0" borderId="0" xfId="9" applyNumberFormat="1"/>
    <xf numFmtId="167" fontId="4" fillId="0" borderId="0" xfId="9" applyNumberFormat="1"/>
    <xf numFmtId="172" fontId="4" fillId="0" borderId="0" xfId="9" applyNumberFormat="1"/>
    <xf numFmtId="2" fontId="4" fillId="0" borderId="0" xfId="14" applyNumberFormat="1" applyFont="1" applyAlignment="1">
      <alignment vertical="center"/>
    </xf>
    <xf numFmtId="164" fontId="10" fillId="0" borderId="0" xfId="0" applyNumberFormat="1" applyFont="1" applyAlignment="1">
      <alignment vertical="center"/>
    </xf>
    <xf numFmtId="0" fontId="9"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readingOrder="1"/>
    </xf>
    <xf numFmtId="0" fontId="13" fillId="4" borderId="13" xfId="4" applyFont="1" applyFill="1" applyBorder="1" applyAlignment="1">
      <alignment horizontal="center" vertical="center" wrapText="1"/>
    </xf>
    <xf numFmtId="0" fontId="4" fillId="0" borderId="0" xfId="10" applyAlignment="1">
      <alignment horizontal="right" vertical="center"/>
    </xf>
    <xf numFmtId="0" fontId="12" fillId="4" borderId="1" xfId="4" applyFont="1" applyFill="1" applyBorder="1" applyAlignment="1">
      <alignment horizontal="center" vertical="center" wrapText="1"/>
    </xf>
    <xf numFmtId="0" fontId="14" fillId="0" borderId="16" xfId="7" applyFont="1" applyBorder="1" applyAlignment="1">
      <alignment vertical="center" wrapText="1"/>
    </xf>
    <xf numFmtId="0" fontId="23" fillId="0" borderId="16" xfId="7" applyFont="1" applyBorder="1" applyAlignment="1">
      <alignment vertical="center" wrapText="1"/>
    </xf>
    <xf numFmtId="0" fontId="22" fillId="0" borderId="0" xfId="7" applyFont="1" applyAlignment="1">
      <alignment vertical="center" wrapText="1"/>
    </xf>
    <xf numFmtId="0" fontId="14" fillId="0" borderId="23" xfId="7" applyFont="1" applyBorder="1" applyAlignment="1">
      <alignment vertical="center" wrapText="1"/>
    </xf>
    <xf numFmtId="0" fontId="23" fillId="0" borderId="22" xfId="7" applyFont="1" applyBorder="1" applyAlignment="1">
      <alignment vertical="center" wrapText="1"/>
    </xf>
    <xf numFmtId="167" fontId="11" fillId="3" borderId="0" xfId="0" applyNumberFormat="1" applyFont="1" applyFill="1" applyAlignment="1">
      <alignment horizontal="right" vertical="center" indent="1" readingOrder="2"/>
    </xf>
    <xf numFmtId="167" fontId="11" fillId="3" borderId="34" xfId="0" applyNumberFormat="1" applyFont="1" applyFill="1" applyBorder="1" applyAlignment="1">
      <alignment horizontal="right" vertical="center" indent="1" readingOrder="2"/>
    </xf>
    <xf numFmtId="167" fontId="11" fillId="3" borderId="15" xfId="0" applyNumberFormat="1" applyFont="1" applyFill="1" applyBorder="1" applyAlignment="1">
      <alignment horizontal="right" vertical="center" indent="1" readingOrder="2"/>
    </xf>
    <xf numFmtId="167" fontId="10" fillId="3" borderId="0" xfId="0" applyNumberFormat="1" applyFont="1" applyFill="1" applyAlignment="1">
      <alignment horizontal="right" vertical="center" indent="1" readingOrder="2"/>
    </xf>
    <xf numFmtId="3" fontId="22" fillId="0" borderId="6" xfId="11" applyNumberFormat="1" applyFont="1" applyFill="1" applyBorder="1" applyAlignment="1">
      <alignment horizontal="center" vertical="center"/>
    </xf>
    <xf numFmtId="169" fontId="21" fillId="3" borderId="15" xfId="1" applyNumberFormat="1" applyFont="1" applyFill="1" applyBorder="1" applyAlignment="1">
      <alignment horizontal="center" vertical="center"/>
    </xf>
    <xf numFmtId="169" fontId="21" fillId="3" borderId="14" xfId="1" applyNumberFormat="1" applyFont="1" applyFill="1" applyBorder="1" applyAlignment="1">
      <alignment horizontal="center" vertical="center"/>
    </xf>
    <xf numFmtId="168" fontId="10" fillId="5" borderId="0" xfId="13" applyNumberFormat="1" applyFont="1" applyFill="1" applyBorder="1" applyAlignment="1">
      <alignment horizontal="center" vertical="center"/>
    </xf>
    <xf numFmtId="168" fontId="11" fillId="5" borderId="0" xfId="13" applyNumberFormat="1" applyFont="1" applyFill="1" applyBorder="1" applyAlignment="1">
      <alignment horizontal="center" vertical="center"/>
    </xf>
    <xf numFmtId="168" fontId="11" fillId="5" borderId="15" xfId="13" applyNumberFormat="1" applyFont="1" applyFill="1" applyBorder="1" applyAlignment="1">
      <alignment horizontal="center" vertical="center"/>
    </xf>
    <xf numFmtId="168" fontId="22" fillId="0" borderId="15" xfId="1" applyNumberFormat="1" applyFont="1" applyFill="1" applyBorder="1" applyAlignment="1">
      <alignment vertical="center"/>
    </xf>
    <xf numFmtId="168" fontId="22" fillId="0" borderId="14" xfId="1" applyNumberFormat="1" applyFont="1" applyFill="1" applyBorder="1" applyAlignment="1">
      <alignment vertical="center"/>
    </xf>
    <xf numFmtId="168" fontId="22" fillId="0" borderId="21" xfId="1" applyNumberFormat="1" applyFont="1" applyFill="1" applyBorder="1" applyAlignment="1">
      <alignment vertical="center"/>
    </xf>
    <xf numFmtId="0" fontId="14" fillId="0" borderId="16" xfId="7" applyFont="1" applyBorder="1" applyAlignment="1">
      <alignment horizontal="right" vertical="center" wrapText="1" indent="3"/>
    </xf>
    <xf numFmtId="0" fontId="14" fillId="0" borderId="16" xfId="7" applyFont="1" applyBorder="1" applyAlignment="1">
      <alignment horizontal="left" vertical="center" wrapText="1" indent="3"/>
    </xf>
    <xf numFmtId="0" fontId="14" fillId="0" borderId="0" xfId="7" applyFont="1" applyAlignment="1">
      <alignment horizontal="right" vertical="center" wrapText="1" indent="3"/>
    </xf>
    <xf numFmtId="2" fontId="10" fillId="3" borderId="15" xfId="19" applyNumberFormat="1" applyFont="1" applyFill="1" applyBorder="1" applyAlignment="1">
      <alignment horizontal="right" vertical="center" indent="3" readingOrder="2"/>
    </xf>
    <xf numFmtId="0" fontId="14" fillId="0" borderId="0" xfId="7" applyFont="1" applyAlignment="1">
      <alignment horizontal="left" vertical="center" wrapText="1" indent="3"/>
    </xf>
    <xf numFmtId="2" fontId="10" fillId="3" borderId="15" xfId="19" applyNumberFormat="1" applyFont="1" applyFill="1" applyBorder="1" applyAlignment="1">
      <alignment horizontal="left" vertical="center" indent="3" readingOrder="2"/>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31" fillId="2" borderId="0" xfId="20" applyFont="1" applyFill="1" applyAlignment="1">
      <alignment vertical="center"/>
    </xf>
    <xf numFmtId="167" fontId="11" fillId="3" borderId="0" xfId="1" applyNumberFormat="1" applyFont="1" applyFill="1" applyBorder="1" applyAlignment="1">
      <alignment horizontal="center" vertical="center"/>
    </xf>
    <xf numFmtId="167" fontId="22" fillId="0" borderId="17" xfId="1" applyNumberFormat="1" applyFont="1" applyFill="1" applyBorder="1" applyAlignment="1">
      <alignment horizontal="center" vertical="center" wrapText="1"/>
    </xf>
    <xf numFmtId="167" fontId="11" fillId="5" borderId="0" xfId="1" applyNumberFormat="1" applyFont="1" applyFill="1" applyBorder="1" applyAlignment="1">
      <alignment horizontal="center" vertical="center"/>
    </xf>
    <xf numFmtId="167" fontId="10" fillId="5" borderId="0" xfId="1" applyNumberFormat="1" applyFont="1" applyFill="1" applyBorder="1" applyAlignment="1">
      <alignment horizontal="center" vertical="center"/>
    </xf>
    <xf numFmtId="167" fontId="22" fillId="5" borderId="17" xfId="1" applyNumberFormat="1" applyFont="1" applyFill="1" applyBorder="1" applyAlignment="1">
      <alignment horizontal="center" vertical="center" wrapText="1"/>
    </xf>
    <xf numFmtId="37" fontId="10" fillId="3" borderId="0" xfId="1" applyNumberFormat="1" applyFont="1" applyFill="1" applyBorder="1" applyAlignment="1">
      <alignment horizontal="right" vertical="center"/>
    </xf>
    <xf numFmtId="37" fontId="10" fillId="3" borderId="30" xfId="1" applyNumberFormat="1" applyFont="1" applyFill="1" applyBorder="1" applyAlignment="1">
      <alignment horizontal="right" vertical="center"/>
    </xf>
    <xf numFmtId="37" fontId="10" fillId="3" borderId="33" xfId="1" applyNumberFormat="1" applyFont="1" applyFill="1" applyBorder="1" applyAlignment="1">
      <alignment horizontal="right" vertical="center"/>
    </xf>
    <xf numFmtId="37" fontId="10" fillId="3" borderId="14" xfId="1" applyNumberFormat="1" applyFont="1" applyFill="1" applyBorder="1" applyAlignment="1">
      <alignment horizontal="right" vertical="center"/>
    </xf>
    <xf numFmtId="168" fontId="22" fillId="3" borderId="3" xfId="1" applyNumberFormat="1" applyFont="1" applyFill="1" applyBorder="1" applyAlignment="1">
      <alignment horizontal="left" vertical="center" wrapText="1"/>
    </xf>
    <xf numFmtId="0" fontId="9" fillId="3" borderId="31" xfId="4" applyFont="1" applyFill="1" applyBorder="1" applyAlignment="1">
      <alignment vertical="center" wrapText="1"/>
    </xf>
    <xf numFmtId="0" fontId="23" fillId="3" borderId="11" xfId="4" applyFont="1" applyFill="1" applyBorder="1" applyAlignment="1">
      <alignment vertical="center" wrapText="1"/>
    </xf>
    <xf numFmtId="168" fontId="22" fillId="3" borderId="8" xfId="1" applyNumberFormat="1" applyFont="1" applyFill="1" applyBorder="1" applyAlignment="1">
      <alignment horizontal="right" vertical="center" wrapText="1"/>
    </xf>
    <xf numFmtId="168" fontId="11" fillId="0" borderId="0" xfId="1" applyNumberFormat="1" applyFont="1" applyFill="1" applyBorder="1" applyAlignment="1">
      <alignment horizontal="center" vertical="center"/>
    </xf>
    <xf numFmtId="0" fontId="13" fillId="4" borderId="8" xfId="0" applyFont="1" applyFill="1" applyBorder="1" applyAlignment="1">
      <alignment horizontal="center" vertical="center"/>
    </xf>
    <xf numFmtId="168" fontId="11" fillId="0" borderId="15" xfId="1" applyNumberFormat="1" applyFont="1" applyFill="1" applyBorder="1" applyAlignment="1">
      <alignment horizontal="center" vertical="center"/>
    </xf>
    <xf numFmtId="169" fontId="11" fillId="0" borderId="0" xfId="1" applyNumberFormat="1" applyFont="1" applyFill="1" applyBorder="1" applyAlignment="1">
      <alignment horizontal="center" vertical="center"/>
    </xf>
    <xf numFmtId="169" fontId="11" fillId="0" borderId="15" xfId="1" applyNumberFormat="1" applyFont="1" applyFill="1" applyBorder="1" applyAlignment="1">
      <alignment horizontal="center" vertical="center"/>
    </xf>
    <xf numFmtId="0" fontId="22" fillId="3" borderId="0" xfId="4" applyFont="1" applyFill="1" applyAlignment="1">
      <alignment vertical="center" wrapText="1"/>
    </xf>
    <xf numFmtId="0" fontId="22" fillId="0" borderId="15" xfId="7" applyFont="1" applyBorder="1" applyAlignment="1">
      <alignment vertical="center" wrapText="1"/>
    </xf>
    <xf numFmtId="168" fontId="11" fillId="0" borderId="14" xfId="1" applyNumberFormat="1" applyFont="1" applyFill="1" applyBorder="1" applyAlignment="1">
      <alignment horizontal="center" vertical="center"/>
    </xf>
    <xf numFmtId="0" fontId="9" fillId="2" borderId="5" xfId="9" applyFont="1" applyFill="1" applyBorder="1" applyAlignment="1">
      <alignment vertical="center" readingOrder="2"/>
    </xf>
    <xf numFmtId="0" fontId="9" fillId="3" borderId="16" xfId="9" applyFont="1" applyFill="1" applyBorder="1" applyAlignment="1">
      <alignment vertical="center" readingOrder="2"/>
    </xf>
    <xf numFmtId="0" fontId="14" fillId="0" borderId="16" xfId="7" applyFont="1" applyBorder="1" applyAlignment="1">
      <alignment horizontal="right" vertical="center" wrapText="1"/>
    </xf>
    <xf numFmtId="0" fontId="9" fillId="2" borderId="16" xfId="9" applyFont="1" applyFill="1" applyBorder="1" applyAlignment="1">
      <alignment vertical="center" readingOrder="2"/>
    </xf>
    <xf numFmtId="167" fontId="10" fillId="5" borderId="0" xfId="9" applyNumberFormat="1" applyFont="1" applyFill="1" applyAlignment="1">
      <alignment horizontal="right" vertical="center" indent="1"/>
    </xf>
    <xf numFmtId="167" fontId="10" fillId="5" borderId="0" xfId="7" applyNumberFormat="1" applyFont="1" applyFill="1" applyAlignment="1">
      <alignment horizontal="right" vertical="center" indent="1"/>
    </xf>
    <xf numFmtId="167" fontId="11" fillId="5" borderId="0" xfId="7" applyNumberFormat="1" applyFont="1" applyFill="1" applyAlignment="1">
      <alignment horizontal="right" vertical="center" indent="1"/>
    </xf>
    <xf numFmtId="168" fontId="10" fillId="3" borderId="30" xfId="1" applyNumberFormat="1" applyFont="1" applyFill="1" applyBorder="1" applyAlignment="1">
      <alignment horizontal="right" vertical="center"/>
    </xf>
    <xf numFmtId="168" fontId="10" fillId="3" borderId="33" xfId="1" applyNumberFormat="1" applyFont="1" applyFill="1" applyBorder="1" applyAlignment="1">
      <alignment horizontal="right" vertical="center"/>
    </xf>
    <xf numFmtId="0" fontId="4" fillId="0" borderId="10" xfId="0" applyFont="1" applyBorder="1" applyAlignment="1">
      <alignment horizontal="justify" vertical="center" wrapText="1"/>
    </xf>
    <xf numFmtId="3" fontId="15" fillId="0" borderId="5" xfId="1" applyNumberFormat="1" applyFont="1" applyFill="1" applyBorder="1" applyAlignment="1">
      <alignment vertical="center" wrapText="1"/>
    </xf>
    <xf numFmtId="3" fontId="16" fillId="3" borderId="19" xfId="1" applyNumberFormat="1" applyFont="1" applyFill="1" applyBorder="1" applyAlignment="1">
      <alignment vertical="center"/>
    </xf>
    <xf numFmtId="3" fontId="16" fillId="3" borderId="19" xfId="0" applyNumberFormat="1" applyFont="1" applyFill="1" applyBorder="1" applyAlignment="1">
      <alignment vertical="center"/>
    </xf>
    <xf numFmtId="3" fontId="16" fillId="3" borderId="7" xfId="0" applyNumberFormat="1" applyFont="1" applyFill="1" applyBorder="1" applyAlignment="1">
      <alignment vertical="center"/>
    </xf>
    <xf numFmtId="1" fontId="15" fillId="0" borderId="19" xfId="6" applyNumberFormat="1" applyFont="1" applyBorder="1" applyAlignment="1">
      <alignment horizontal="left" vertical="center" wrapText="1"/>
    </xf>
    <xf numFmtId="0" fontId="4" fillId="0" borderId="0" xfId="9" applyAlignment="1">
      <alignment vertical="center" wrapText="1"/>
    </xf>
    <xf numFmtId="0" fontId="10" fillId="0" borderId="0" xfId="9" applyFont="1" applyAlignment="1">
      <alignment vertical="center" wrapText="1" readingOrder="2"/>
    </xf>
    <xf numFmtId="0" fontId="10" fillId="0" borderId="0" xfId="10" applyFont="1" applyAlignment="1">
      <alignment horizontal="right" vertical="center"/>
    </xf>
    <xf numFmtId="168" fontId="10" fillId="0" borderId="0" xfId="1" applyNumberFormat="1" applyFont="1" applyFill="1" applyBorder="1" applyAlignment="1">
      <alignment horizontal="center" vertical="center"/>
    </xf>
    <xf numFmtId="168" fontId="10" fillId="0" borderId="0" xfId="1" applyNumberFormat="1" applyFont="1" applyFill="1" applyAlignment="1">
      <alignment vertical="center"/>
    </xf>
    <xf numFmtId="168" fontId="16" fillId="0" borderId="0" xfId="1" applyNumberFormat="1" applyFont="1" applyFill="1" applyBorder="1" applyAlignment="1">
      <alignment horizontal="right" vertical="center"/>
    </xf>
    <xf numFmtId="168" fontId="10" fillId="0" borderId="15" xfId="1" applyNumberFormat="1" applyFont="1" applyFill="1" applyBorder="1" applyAlignment="1">
      <alignment vertical="center"/>
    </xf>
    <xf numFmtId="169" fontId="11" fillId="0" borderId="34" xfId="1" applyNumberFormat="1" applyFont="1" applyFill="1" applyBorder="1" applyAlignment="1">
      <alignment horizontal="center" vertical="center"/>
    </xf>
    <xf numFmtId="169" fontId="11" fillId="5" borderId="19" xfId="1" applyNumberFormat="1" applyFont="1" applyFill="1" applyBorder="1" applyAlignment="1">
      <alignment horizontal="center" vertical="center"/>
    </xf>
    <xf numFmtId="169" fontId="10" fillId="5" borderId="0" xfId="13" applyNumberFormat="1" applyFont="1" applyFill="1" applyBorder="1" applyAlignment="1">
      <alignment horizontal="center" vertical="center"/>
    </xf>
    <xf numFmtId="169" fontId="11" fillId="5" borderId="0" xfId="13" applyNumberFormat="1" applyFont="1" applyFill="1" applyBorder="1" applyAlignment="1">
      <alignment horizontal="center" vertical="center"/>
    </xf>
    <xf numFmtId="169" fontId="11" fillId="5" borderId="15" xfId="13" applyNumberFormat="1" applyFont="1" applyFill="1" applyBorder="1" applyAlignment="1">
      <alignment horizontal="center" vertical="center"/>
    </xf>
    <xf numFmtId="169" fontId="11" fillId="5" borderId="0" xfId="1" applyNumberFormat="1" applyFont="1" applyFill="1" applyBorder="1" applyAlignment="1">
      <alignment horizontal="center" vertical="center" wrapText="1"/>
    </xf>
    <xf numFmtId="169" fontId="11" fillId="5" borderId="14" xfId="1" applyNumberFormat="1" applyFont="1" applyFill="1" applyBorder="1" applyAlignment="1">
      <alignment horizontal="center" vertical="center" wrapText="1"/>
    </xf>
    <xf numFmtId="169" fontId="11" fillId="0" borderId="14" xfId="1" applyNumberFormat="1" applyFont="1" applyFill="1" applyBorder="1" applyAlignment="1">
      <alignment horizontal="center" vertical="center"/>
    </xf>
    <xf numFmtId="0" fontId="23" fillId="0" borderId="19" xfId="6" applyFont="1" applyBorder="1" applyAlignment="1">
      <alignment vertical="center" wrapText="1"/>
    </xf>
    <xf numFmtId="168" fontId="21" fillId="3" borderId="15" xfId="1" applyNumberFormat="1" applyFont="1" applyFill="1" applyBorder="1" applyAlignment="1">
      <alignment horizontal="right" vertical="center"/>
    </xf>
    <xf numFmtId="168" fontId="10" fillId="0" borderId="0" xfId="1" applyNumberFormat="1" applyFont="1" applyFill="1" applyBorder="1" applyAlignment="1">
      <alignment horizontal="right" vertical="center" wrapText="1"/>
    </xf>
    <xf numFmtId="3" fontId="22" fillId="0" borderId="5" xfId="1" applyNumberFormat="1" applyFont="1" applyFill="1" applyBorder="1" applyAlignment="1">
      <alignment vertical="center" wrapText="1"/>
    </xf>
    <xf numFmtId="3" fontId="16" fillId="3" borderId="7" xfId="1" applyNumberFormat="1" applyFont="1" applyFill="1" applyBorder="1" applyAlignment="1">
      <alignment vertical="center"/>
    </xf>
    <xf numFmtId="3" fontId="16" fillId="3" borderId="37" xfId="1" applyNumberFormat="1" applyFont="1" applyFill="1" applyBorder="1" applyAlignment="1">
      <alignment vertical="center"/>
    </xf>
    <xf numFmtId="3" fontId="16" fillId="3" borderId="36" xfId="1" applyNumberFormat="1" applyFont="1" applyFill="1" applyBorder="1" applyAlignment="1">
      <alignment vertical="center"/>
    </xf>
    <xf numFmtId="0" fontId="4" fillId="0" borderId="5" xfId="0" applyFont="1" applyBorder="1" applyAlignment="1">
      <alignment horizontal="justify" vertical="center" wrapText="1"/>
    </xf>
    <xf numFmtId="0" fontId="4" fillId="0" borderId="16" xfId="0" applyFont="1" applyBorder="1" applyAlignment="1">
      <alignment horizontal="justify" vertical="center" wrapText="1"/>
    </xf>
    <xf numFmtId="3" fontId="11" fillId="3" borderId="14" xfId="1" applyNumberFormat="1" applyFont="1" applyFill="1" applyBorder="1" applyAlignment="1">
      <alignment vertical="center" wrapText="1"/>
    </xf>
    <xf numFmtId="3" fontId="21" fillId="0" borderId="0" xfId="1" applyNumberFormat="1" applyFont="1" applyFill="1" applyBorder="1" applyAlignment="1">
      <alignment vertical="center"/>
    </xf>
    <xf numFmtId="3" fontId="16" fillId="0" borderId="0" xfId="1" applyNumberFormat="1" applyFont="1" applyFill="1" applyBorder="1" applyAlignment="1">
      <alignment vertical="center"/>
    </xf>
    <xf numFmtId="3" fontId="21" fillId="0" borderId="15" xfId="1" applyNumberFormat="1" applyFont="1" applyFill="1" applyBorder="1" applyAlignment="1">
      <alignment vertical="center"/>
    </xf>
    <xf numFmtId="168" fontId="21" fillId="0" borderId="0" xfId="1" applyNumberFormat="1" applyFont="1" applyFill="1" applyBorder="1" applyAlignment="1">
      <alignment horizontal="center" vertical="center"/>
    </xf>
    <xf numFmtId="168" fontId="15" fillId="0" borderId="0" xfId="13" applyNumberFormat="1" applyFont="1" applyFill="1" applyBorder="1" applyAlignment="1">
      <alignment vertical="center" wrapText="1"/>
    </xf>
    <xf numFmtId="168" fontId="22" fillId="0" borderId="0" xfId="13" applyNumberFormat="1" applyFont="1" applyFill="1" applyBorder="1" applyAlignment="1">
      <alignment vertical="center" wrapText="1"/>
    </xf>
    <xf numFmtId="168" fontId="21" fillId="0" borderId="0" xfId="1" applyNumberFormat="1" applyFont="1" applyFill="1" applyBorder="1" applyAlignment="1">
      <alignment horizontal="right" vertical="center"/>
    </xf>
    <xf numFmtId="168" fontId="15" fillId="0" borderId="0" xfId="1" applyNumberFormat="1" applyFont="1" applyFill="1" applyBorder="1" applyAlignment="1">
      <alignment horizontal="right" vertical="center" wrapText="1"/>
    </xf>
    <xf numFmtId="168" fontId="22" fillId="0" borderId="0" xfId="1" applyNumberFormat="1" applyFont="1" applyFill="1" applyBorder="1" applyAlignment="1">
      <alignment horizontal="right" vertical="center" wrapText="1"/>
    </xf>
    <xf numFmtId="168" fontId="15" fillId="0" borderId="0" xfId="1" applyNumberFormat="1" applyFont="1" applyFill="1" applyBorder="1" applyAlignment="1">
      <alignment horizontal="center" vertical="center" wrapText="1"/>
    </xf>
    <xf numFmtId="168" fontId="16" fillId="0" borderId="0" xfId="1" applyNumberFormat="1" applyFont="1" applyFill="1" applyBorder="1" applyAlignment="1">
      <alignment horizontal="center" vertical="center"/>
    </xf>
    <xf numFmtId="1" fontId="10" fillId="0" borderId="0" xfId="9" applyNumberFormat="1" applyFont="1" applyAlignment="1">
      <alignment vertical="center"/>
    </xf>
    <xf numFmtId="0" fontId="14" fillId="0" borderId="0" xfId="7" applyFont="1" applyAlignment="1">
      <alignment horizontal="right" vertical="center" wrapText="1" indent="2"/>
    </xf>
    <xf numFmtId="0" fontId="4" fillId="0" borderId="0" xfId="9" applyAlignment="1">
      <alignment horizontal="right" vertical="center" wrapText="1"/>
    </xf>
    <xf numFmtId="0" fontId="27" fillId="0" borderId="0" xfId="16" applyFont="1" applyAlignment="1">
      <alignment horizontal="left" vertical="center" wrapText="1" readingOrder="1"/>
    </xf>
    <xf numFmtId="0" fontId="13" fillId="4" borderId="0" xfId="10" applyFont="1" applyFill="1" applyAlignment="1">
      <alignment horizontal="center" vertical="center"/>
    </xf>
    <xf numFmtId="0" fontId="27" fillId="0" borderId="0" xfId="19" applyFont="1" applyAlignment="1">
      <alignment horizontal="left" vertical="center" wrapText="1" indent="1" readingOrder="1"/>
    </xf>
    <xf numFmtId="0" fontId="4" fillId="0" borderId="0" xfId="16" applyFont="1" applyAlignment="1">
      <alignment horizontal="right" vertical="center" wrapText="1" readingOrder="2"/>
    </xf>
    <xf numFmtId="165" fontId="11" fillId="3" borderId="0" xfId="1" applyFont="1" applyFill="1" applyAlignment="1">
      <alignment vertical="center"/>
    </xf>
    <xf numFmtId="0" fontId="11" fillId="3" borderId="0" xfId="0" applyFont="1" applyFill="1" applyAlignment="1">
      <alignment horizontal="center" vertical="center" readingOrder="1"/>
    </xf>
    <xf numFmtId="0" fontId="11" fillId="2" borderId="0" xfId="9" applyFont="1" applyFill="1" applyAlignment="1">
      <alignment horizontal="center" vertical="center" readingOrder="1"/>
    </xf>
    <xf numFmtId="168" fontId="10" fillId="0" borderId="0" xfId="1" applyNumberFormat="1" applyFont="1" applyFill="1" applyBorder="1" applyAlignment="1">
      <alignment vertical="center" wrapText="1"/>
    </xf>
    <xf numFmtId="168" fontId="10" fillId="0" borderId="14" xfId="1" applyNumberFormat="1" applyFont="1" applyFill="1" applyBorder="1" applyAlignment="1">
      <alignment vertical="center" wrapText="1"/>
    </xf>
    <xf numFmtId="168" fontId="10" fillId="0" borderId="35" xfId="1" applyNumberFormat="1" applyFont="1" applyFill="1" applyBorder="1" applyAlignment="1">
      <alignment vertical="center" wrapText="1"/>
    </xf>
    <xf numFmtId="168" fontId="9" fillId="3" borderId="0" xfId="10" applyNumberFormat="1" applyFont="1" applyFill="1" applyAlignment="1">
      <alignment vertical="center"/>
    </xf>
    <xf numFmtId="0" fontId="11" fillId="2" borderId="0" xfId="9" applyFont="1" applyFill="1" applyAlignment="1">
      <alignment horizontal="center" vertical="center"/>
    </xf>
    <xf numFmtId="0" fontId="10" fillId="2" borderId="0" xfId="9" applyFont="1" applyFill="1" applyAlignment="1">
      <alignment horizontal="left" vertical="center" readingOrder="1"/>
    </xf>
    <xf numFmtId="0" fontId="4" fillId="0" borderId="0" xfId="19" applyAlignment="1">
      <alignment horizontal="right" vertical="center" wrapText="1" indent="1"/>
    </xf>
    <xf numFmtId="168" fontId="21" fillId="3" borderId="26" xfId="1" applyNumberFormat="1" applyFont="1" applyFill="1" applyBorder="1" applyAlignment="1">
      <alignment horizontal="right" vertical="center"/>
    </xf>
    <xf numFmtId="168" fontId="22" fillId="0" borderId="15" xfId="13" applyNumberFormat="1" applyFont="1" applyFill="1" applyBorder="1" applyAlignment="1">
      <alignment vertical="center" wrapText="1"/>
    </xf>
    <xf numFmtId="168" fontId="16" fillId="0" borderId="15" xfId="1" applyNumberFormat="1" applyFont="1" applyFill="1" applyBorder="1" applyAlignment="1">
      <alignment horizontal="right" vertical="center"/>
    </xf>
    <xf numFmtId="168" fontId="16" fillId="3" borderId="0" xfId="1" applyNumberFormat="1" applyFont="1" applyFill="1" applyBorder="1" applyAlignment="1">
      <alignment horizontal="right" vertical="center"/>
    </xf>
    <xf numFmtId="168" fontId="10" fillId="0" borderId="30" xfId="1" applyNumberFormat="1" applyFont="1" applyBorder="1" applyAlignment="1">
      <alignment horizontal="right" vertical="center"/>
    </xf>
    <xf numFmtId="168" fontId="10" fillId="0" borderId="0" xfId="1" applyNumberFormat="1" applyFont="1" applyBorder="1" applyAlignment="1">
      <alignment horizontal="right" vertical="center"/>
    </xf>
    <xf numFmtId="168" fontId="10" fillId="0" borderId="14" xfId="1" applyNumberFormat="1" applyFont="1" applyBorder="1" applyAlignment="1">
      <alignment horizontal="right" vertical="center"/>
    </xf>
    <xf numFmtId="14" fontId="4" fillId="0" borderId="0" xfId="0" applyNumberFormat="1" applyFont="1"/>
    <xf numFmtId="0" fontId="9" fillId="0" borderId="0" xfId="10" applyFont="1" applyAlignment="1">
      <alignment horizontal="center" vertical="center" wrapText="1"/>
    </xf>
    <xf numFmtId="0" fontId="11" fillId="0" borderId="0" xfId="10" applyFont="1" applyAlignment="1">
      <alignment horizontal="center" vertical="center"/>
    </xf>
    <xf numFmtId="0" fontId="13" fillId="4" borderId="8" xfId="9" applyFont="1" applyFill="1" applyBorder="1" applyAlignment="1">
      <alignment horizontal="center" vertical="center" wrapText="1"/>
    </xf>
    <xf numFmtId="0" fontId="5" fillId="0" borderId="0" xfId="0" applyFont="1" applyAlignment="1">
      <alignment horizontal="left" vertical="center"/>
    </xf>
    <xf numFmtId="0" fontId="5" fillId="0" borderId="0" xfId="9" applyFont="1" applyAlignment="1">
      <alignment horizontal="left" vertical="center" readingOrder="1"/>
    </xf>
    <xf numFmtId="167" fontId="10" fillId="0" borderId="0" xfId="0" applyNumberFormat="1" applyFont="1" applyAlignment="1">
      <alignment vertical="center"/>
    </xf>
    <xf numFmtId="171" fontId="10" fillId="0" borderId="0" xfId="0" applyNumberFormat="1" applyFont="1" applyAlignment="1">
      <alignment vertical="center"/>
    </xf>
    <xf numFmtId="168" fontId="15" fillId="0" borderId="0" xfId="1" applyNumberFormat="1" applyFont="1" applyFill="1" applyBorder="1" applyAlignment="1">
      <alignment vertical="center"/>
    </xf>
    <xf numFmtId="3" fontId="22" fillId="0" borderId="1" xfId="11" applyNumberFormat="1" applyFont="1" applyFill="1" applyBorder="1" applyAlignment="1">
      <alignment horizontal="center" vertical="center" wrapText="1"/>
    </xf>
    <xf numFmtId="0" fontId="23" fillId="3" borderId="3" xfId="4" applyFont="1" applyFill="1" applyBorder="1" applyAlignment="1">
      <alignment horizontal="center" vertical="center" wrapText="1"/>
    </xf>
    <xf numFmtId="0" fontId="9" fillId="3" borderId="14" xfId="4" applyFont="1" applyFill="1" applyBorder="1" applyAlignment="1">
      <alignment horizontal="center" vertical="center" wrapText="1"/>
    </xf>
    <xf numFmtId="0" fontId="10" fillId="3" borderId="0" xfId="9" applyFont="1" applyFill="1" applyAlignment="1">
      <alignment horizontal="right" vertical="center"/>
    </xf>
    <xf numFmtId="169" fontId="16" fillId="3" borderId="0" xfId="1" applyNumberFormat="1" applyFont="1" applyFill="1" applyBorder="1" applyAlignment="1">
      <alignment horizontal="center" vertical="center"/>
    </xf>
    <xf numFmtId="169" fontId="10" fillId="0" borderId="0" xfId="1" applyNumberFormat="1" applyFont="1" applyFill="1" applyBorder="1" applyAlignment="1">
      <alignment horizontal="center" vertical="center"/>
    </xf>
    <xf numFmtId="169" fontId="10" fillId="0" borderId="15" xfId="1" applyNumberFormat="1" applyFont="1" applyFill="1" applyBorder="1" applyAlignment="1">
      <alignment horizontal="center" vertical="center"/>
    </xf>
    <xf numFmtId="0" fontId="11" fillId="3" borderId="0" xfId="0" applyFont="1" applyFill="1" applyAlignment="1">
      <alignment vertical="center"/>
    </xf>
    <xf numFmtId="167" fontId="10" fillId="3" borderId="0" xfId="1" applyNumberFormat="1" applyFont="1" applyFill="1" applyBorder="1" applyAlignment="1">
      <alignment horizontal="center" vertical="center"/>
    </xf>
    <xf numFmtId="0" fontId="15" fillId="0" borderId="16" xfId="7" applyFont="1" applyBorder="1" applyAlignment="1">
      <alignment horizontal="left" vertical="center" wrapText="1" indent="3"/>
    </xf>
    <xf numFmtId="168" fontId="10" fillId="3" borderId="0" xfId="1" applyNumberFormat="1" applyFont="1" applyFill="1" applyBorder="1" applyAlignment="1">
      <alignment horizontal="center" vertical="center"/>
    </xf>
    <xf numFmtId="49" fontId="5" fillId="0" borderId="0" xfId="9" applyNumberFormat="1" applyFont="1" applyAlignment="1">
      <alignment horizontal="left" vertical="center" wrapText="1"/>
    </xf>
    <xf numFmtId="1" fontId="21" fillId="5" borderId="19" xfId="0" applyNumberFormat="1" applyFont="1" applyFill="1" applyBorder="1" applyAlignment="1">
      <alignment horizontal="center" vertical="center"/>
    </xf>
    <xf numFmtId="1" fontId="11" fillId="5" borderId="0" xfId="4" applyNumberFormat="1" applyFont="1" applyFill="1" applyAlignment="1">
      <alignment horizontal="center" vertical="center"/>
    </xf>
    <xf numFmtId="1" fontId="11" fillId="5" borderId="14" xfId="4" applyNumberFormat="1" applyFont="1" applyFill="1" applyBorder="1" applyAlignment="1">
      <alignment horizontal="center" vertical="center"/>
    </xf>
    <xf numFmtId="172" fontId="10" fillId="0" borderId="0" xfId="0" applyNumberFormat="1" applyFont="1" applyAlignment="1">
      <alignment vertical="center"/>
    </xf>
    <xf numFmtId="0" fontId="5" fillId="2" borderId="0" xfId="20" applyFont="1" applyFill="1" applyAlignment="1">
      <alignment vertical="center"/>
    </xf>
    <xf numFmtId="168" fontId="39" fillId="3" borderId="0" xfId="1" applyNumberFormat="1" applyFont="1" applyFill="1" applyBorder="1" applyAlignment="1">
      <alignment horizontal="center" vertical="center" wrapText="1"/>
    </xf>
    <xf numFmtId="168" fontId="5" fillId="0" borderId="0" xfId="0" applyNumberFormat="1" applyFont="1" applyAlignment="1">
      <alignment vertical="center" readingOrder="2"/>
    </xf>
    <xf numFmtId="168" fontId="5" fillId="0" borderId="0" xfId="0" applyNumberFormat="1" applyFont="1" applyAlignment="1">
      <alignment vertical="center"/>
    </xf>
    <xf numFmtId="164" fontId="5" fillId="0" borderId="0" xfId="0" applyNumberFormat="1" applyFont="1" applyAlignment="1">
      <alignment vertical="center"/>
    </xf>
    <xf numFmtId="168" fontId="5" fillId="0" borderId="0" xfId="9" applyNumberFormat="1" applyFont="1" applyAlignment="1">
      <alignment vertical="center" readingOrder="2"/>
    </xf>
    <xf numFmtId="168" fontId="5" fillId="0" borderId="0" xfId="9" applyNumberFormat="1" applyFont="1" applyAlignment="1">
      <alignment vertical="center"/>
    </xf>
    <xf numFmtId="168" fontId="5" fillId="3" borderId="0" xfId="9" applyNumberFormat="1" applyFont="1" applyFill="1" applyAlignment="1">
      <alignment vertical="center"/>
    </xf>
    <xf numFmtId="0" fontId="39" fillId="3" borderId="0" xfId="10" applyFont="1" applyFill="1" applyAlignment="1">
      <alignment vertical="center"/>
    </xf>
    <xf numFmtId="168" fontId="39" fillId="3" borderId="0" xfId="10" applyNumberFormat="1" applyFont="1" applyFill="1" applyAlignment="1">
      <alignment vertical="center"/>
    </xf>
    <xf numFmtId="0" fontId="5" fillId="0" borderId="0" xfId="9" applyFont="1" applyAlignment="1">
      <alignment horizontal="right" vertical="center" readingOrder="2"/>
    </xf>
    <xf numFmtId="0" fontId="5" fillId="3" borderId="0" xfId="9" applyFont="1" applyFill="1" applyAlignment="1">
      <alignment vertical="center" readingOrder="2"/>
    </xf>
    <xf numFmtId="0" fontId="39" fillId="3" borderId="0" xfId="9" applyFont="1" applyFill="1" applyAlignment="1">
      <alignment vertical="center"/>
    </xf>
    <xf numFmtId="167" fontId="10" fillId="3" borderId="0" xfId="9" applyNumberFormat="1" applyFont="1" applyFill="1" applyAlignment="1">
      <alignment horizontal="right" vertical="center" indent="1" readingOrder="2"/>
    </xf>
    <xf numFmtId="167" fontId="10" fillId="3" borderId="0" xfId="9" applyNumberFormat="1" applyFont="1" applyFill="1" applyAlignment="1">
      <alignment horizontal="right" vertical="center" indent="1"/>
    </xf>
    <xf numFmtId="173" fontId="10" fillId="0" borderId="0" xfId="1" applyNumberFormat="1" applyFont="1" applyFill="1" applyBorder="1" applyAlignment="1">
      <alignment vertical="center" wrapText="1"/>
    </xf>
    <xf numFmtId="168" fontId="15" fillId="3" borderId="0" xfId="1" applyNumberFormat="1" applyFont="1" applyFill="1" applyBorder="1" applyAlignment="1">
      <alignment horizontal="right" vertical="center" wrapText="1"/>
    </xf>
    <xf numFmtId="0" fontId="23" fillId="0" borderId="3" xfId="7" applyFont="1" applyBorder="1" applyAlignment="1">
      <alignment horizontal="right" vertical="center" wrapText="1"/>
    </xf>
    <xf numFmtId="168" fontId="10" fillId="0" borderId="3" xfId="1" applyNumberFormat="1" applyFont="1" applyFill="1" applyBorder="1" applyAlignment="1">
      <alignment horizontal="right" vertical="center" wrapText="1"/>
    </xf>
    <xf numFmtId="0" fontId="11" fillId="3" borderId="3" xfId="0" applyFont="1" applyFill="1" applyBorder="1" applyAlignment="1">
      <alignment horizontal="left" vertical="center" wrapText="1" readingOrder="1"/>
    </xf>
    <xf numFmtId="0" fontId="15" fillId="0" borderId="0" xfId="7" applyFont="1" applyAlignment="1">
      <alignment horizontal="left" vertical="center" wrapText="1" indent="1"/>
    </xf>
    <xf numFmtId="0" fontId="14" fillId="0" borderId="15" xfId="7" applyFont="1" applyBorder="1" applyAlignment="1">
      <alignment horizontal="right" vertical="center" wrapText="1" indent="2"/>
    </xf>
    <xf numFmtId="168" fontId="10" fillId="0" borderId="15" xfId="1" applyNumberFormat="1" applyFont="1" applyFill="1" applyBorder="1" applyAlignment="1">
      <alignment horizontal="right" vertical="center" wrapText="1"/>
    </xf>
    <xf numFmtId="0" fontId="15" fillId="0" borderId="15" xfId="7" applyFont="1" applyBorder="1" applyAlignment="1">
      <alignment horizontal="left" vertical="center" wrapText="1" indent="1"/>
    </xf>
    <xf numFmtId="0" fontId="22" fillId="0" borderId="3" xfId="7" applyFont="1" applyBorder="1" applyAlignment="1">
      <alignment horizontal="left" vertical="center" wrapText="1"/>
    </xf>
    <xf numFmtId="0" fontId="15" fillId="0" borderId="15" xfId="7" applyFont="1" applyBorder="1" applyAlignment="1">
      <alignment horizontal="left" vertical="center" wrapText="1"/>
    </xf>
    <xf numFmtId="0" fontId="23" fillId="0" borderId="17" xfId="7" applyFont="1" applyBorder="1" applyAlignment="1">
      <alignment horizontal="right" vertical="center" wrapText="1"/>
    </xf>
    <xf numFmtId="168" fontId="10" fillId="0" borderId="17" xfId="1" applyNumberFormat="1" applyFont="1" applyFill="1" applyBorder="1" applyAlignment="1">
      <alignment horizontal="right" vertical="center" wrapText="1"/>
    </xf>
    <xf numFmtId="0" fontId="22" fillId="0" borderId="17" xfId="7" applyFont="1" applyBorder="1" applyAlignment="1">
      <alignment horizontal="left" vertical="center" wrapText="1"/>
    </xf>
    <xf numFmtId="167" fontId="10" fillId="3" borderId="14" xfId="9" applyNumberFormat="1" applyFont="1" applyFill="1" applyBorder="1" applyAlignment="1">
      <alignment horizontal="right" vertical="center" indent="1" readingOrder="2"/>
    </xf>
    <xf numFmtId="167" fontId="10" fillId="3" borderId="3" xfId="9" applyNumberFormat="1" applyFont="1" applyFill="1" applyBorder="1" applyAlignment="1">
      <alignment horizontal="right" vertical="center" indent="1" readingOrder="2"/>
    </xf>
    <xf numFmtId="0" fontId="14" fillId="0" borderId="15" xfId="7" applyFont="1" applyBorder="1" applyAlignment="1">
      <alignment horizontal="right" vertical="center" wrapText="1"/>
    </xf>
    <xf numFmtId="167" fontId="10" fillId="0" borderId="15" xfId="9" applyNumberFormat="1" applyFont="1" applyBorder="1" applyAlignment="1">
      <alignment horizontal="right" vertical="center" indent="1" readingOrder="2"/>
    </xf>
    <xf numFmtId="0" fontId="14" fillId="0" borderId="22" xfId="7" applyFont="1" applyBorder="1" applyAlignment="1">
      <alignment horizontal="left" vertical="center" wrapText="1" indent="3"/>
    </xf>
    <xf numFmtId="167" fontId="11" fillId="5" borderId="3" xfId="7" applyNumberFormat="1" applyFont="1" applyFill="1" applyBorder="1" applyAlignment="1">
      <alignment horizontal="right" vertical="center" indent="1"/>
    </xf>
    <xf numFmtId="167" fontId="10" fillId="3" borderId="3" xfId="9" applyNumberFormat="1" applyFont="1" applyFill="1" applyBorder="1" applyAlignment="1">
      <alignment horizontal="right" vertical="center" indent="1"/>
    </xf>
    <xf numFmtId="167" fontId="10" fillId="5" borderId="15" xfId="7" applyNumberFormat="1" applyFont="1" applyFill="1" applyBorder="1" applyAlignment="1">
      <alignment horizontal="right" vertical="center" indent="1"/>
    </xf>
    <xf numFmtId="167" fontId="10" fillId="3" borderId="15" xfId="9" applyNumberFormat="1" applyFont="1" applyFill="1" applyBorder="1" applyAlignment="1">
      <alignment horizontal="right" vertical="center" indent="1"/>
    </xf>
    <xf numFmtId="0" fontId="9" fillId="3" borderId="20" xfId="9" applyFont="1" applyFill="1" applyBorder="1" applyAlignment="1">
      <alignment vertical="center" readingOrder="2"/>
    </xf>
    <xf numFmtId="0" fontId="14" fillId="0" borderId="22" xfId="7" applyFont="1" applyBorder="1" applyAlignment="1">
      <alignment horizontal="right" vertical="center" wrapText="1"/>
    </xf>
    <xf numFmtId="167" fontId="23" fillId="0" borderId="27" xfId="7" applyNumberFormat="1" applyFont="1" applyBorder="1" applyAlignment="1">
      <alignment horizontal="right" vertical="center" wrapText="1"/>
    </xf>
    <xf numFmtId="167" fontId="11" fillId="5" borderId="17" xfId="7" applyNumberFormat="1" applyFont="1" applyFill="1" applyBorder="1" applyAlignment="1">
      <alignment horizontal="right" vertical="center" indent="1"/>
    </xf>
    <xf numFmtId="167" fontId="10" fillId="3" borderId="17" xfId="9" applyNumberFormat="1" applyFont="1" applyFill="1" applyBorder="1" applyAlignment="1">
      <alignment horizontal="right" vertical="center" indent="1"/>
    </xf>
    <xf numFmtId="1" fontId="21" fillId="3" borderId="17" xfId="9" applyNumberFormat="1" applyFont="1" applyFill="1" applyBorder="1" applyAlignment="1">
      <alignment horizontal="left" vertical="center"/>
    </xf>
    <xf numFmtId="167" fontId="10" fillId="3" borderId="15" xfId="9" applyNumberFormat="1" applyFont="1" applyFill="1" applyBorder="1" applyAlignment="1">
      <alignment horizontal="right" vertical="center" indent="1" readingOrder="2"/>
    </xf>
    <xf numFmtId="0" fontId="15" fillId="0" borderId="22" xfId="7" applyFont="1" applyBorder="1" applyAlignment="1">
      <alignment horizontal="left" vertical="center" wrapText="1" indent="3"/>
    </xf>
    <xf numFmtId="167" fontId="11" fillId="0" borderId="0" xfId="7" applyNumberFormat="1" applyFont="1" applyAlignment="1">
      <alignment horizontal="right" vertical="center" indent="1"/>
    </xf>
    <xf numFmtId="167" fontId="10" fillId="0" borderId="0" xfId="9" applyNumberFormat="1" applyFont="1" applyAlignment="1">
      <alignment horizontal="right" vertical="center" indent="1"/>
    </xf>
    <xf numFmtId="49" fontId="15" fillId="0" borderId="0" xfId="7" applyNumberFormat="1" applyFont="1" applyAlignment="1">
      <alignment horizontal="right" vertical="center" wrapText="1" readingOrder="2"/>
    </xf>
    <xf numFmtId="168" fontId="10" fillId="0" borderId="19" xfId="1" applyNumberFormat="1" applyFont="1" applyBorder="1" applyAlignment="1">
      <alignment horizontal="right" vertical="center"/>
    </xf>
    <xf numFmtId="168" fontId="10" fillId="0" borderId="32" xfId="1" applyNumberFormat="1" applyFont="1" applyBorder="1" applyAlignment="1">
      <alignment horizontal="right" vertical="center"/>
    </xf>
    <xf numFmtId="168" fontId="10" fillId="0" borderId="33" xfId="1" applyNumberFormat="1" applyFont="1" applyBorder="1" applyAlignment="1">
      <alignment horizontal="right" vertical="center"/>
    </xf>
    <xf numFmtId="168" fontId="10" fillId="3" borderId="30" xfId="1" applyNumberFormat="1" applyFont="1" applyFill="1" applyBorder="1" applyAlignment="1">
      <alignment horizontal="right" vertical="center" wrapText="1"/>
    </xf>
    <xf numFmtId="168" fontId="10" fillId="3" borderId="0" xfId="1" applyNumberFormat="1" applyFont="1" applyFill="1" applyBorder="1" applyAlignment="1">
      <alignment horizontal="right" vertical="center" wrapText="1"/>
    </xf>
    <xf numFmtId="0" fontId="11" fillId="3" borderId="3" xfId="12" applyFont="1" applyFill="1" applyBorder="1" applyAlignment="1">
      <alignment horizontal="center" vertical="center" wrapText="1"/>
    </xf>
    <xf numFmtId="1" fontId="9" fillId="0" borderId="3" xfId="7" applyNumberFormat="1" applyFont="1" applyBorder="1" applyAlignment="1">
      <alignment horizontal="right" vertical="center" wrapText="1"/>
    </xf>
    <xf numFmtId="1" fontId="10" fillId="0" borderId="3" xfId="7" applyNumberFormat="1" applyFont="1" applyBorder="1" applyAlignment="1">
      <alignment horizontal="right" vertical="center" wrapText="1"/>
    </xf>
    <xf numFmtId="168" fontId="10" fillId="3" borderId="41" xfId="1" applyNumberFormat="1" applyFont="1" applyFill="1" applyBorder="1" applyAlignment="1">
      <alignment horizontal="right" vertical="center"/>
    </xf>
    <xf numFmtId="168" fontId="10" fillId="3" borderId="3" xfId="1" applyNumberFormat="1" applyFont="1" applyFill="1" applyBorder="1" applyAlignment="1">
      <alignment horizontal="right" vertical="center"/>
    </xf>
    <xf numFmtId="0" fontId="11" fillId="3" borderId="3" xfId="12" applyFont="1" applyFill="1" applyBorder="1" applyAlignment="1">
      <alignment horizontal="left" vertical="center" wrapText="1"/>
    </xf>
    <xf numFmtId="0" fontId="11" fillId="3" borderId="15" xfId="0" applyFont="1" applyFill="1" applyBorder="1" applyAlignment="1">
      <alignment horizontal="center" vertical="center" wrapText="1" readingOrder="2"/>
    </xf>
    <xf numFmtId="1" fontId="4" fillId="3" borderId="15" xfId="0" applyNumberFormat="1" applyFont="1" applyFill="1" applyBorder="1" applyAlignment="1">
      <alignment horizontal="right" vertical="center"/>
    </xf>
    <xf numFmtId="1" fontId="10" fillId="0" borderId="15" xfId="7" applyNumberFormat="1" applyFont="1" applyBorder="1" applyAlignment="1">
      <alignment horizontal="right" vertical="center" wrapText="1"/>
    </xf>
    <xf numFmtId="168" fontId="10" fillId="3" borderId="42" xfId="1" applyNumberFormat="1" applyFont="1" applyFill="1" applyBorder="1" applyAlignment="1">
      <alignment horizontal="right" vertical="center"/>
    </xf>
    <xf numFmtId="168" fontId="10" fillId="3" borderId="15" xfId="1" applyNumberFormat="1" applyFont="1" applyFill="1" applyBorder="1" applyAlignment="1">
      <alignment horizontal="right" vertical="center"/>
    </xf>
    <xf numFmtId="0" fontId="10" fillId="3" borderId="15" xfId="12" applyFont="1" applyFill="1" applyBorder="1" applyAlignment="1">
      <alignment horizontal="left" vertical="center" wrapText="1"/>
    </xf>
    <xf numFmtId="168" fontId="10" fillId="0" borderId="3" xfId="1" applyNumberFormat="1" applyFont="1" applyBorder="1" applyAlignment="1">
      <alignment horizontal="right" vertical="center"/>
    </xf>
    <xf numFmtId="168" fontId="10" fillId="0" borderId="41" xfId="1" applyNumberFormat="1" applyFont="1" applyBorder="1" applyAlignment="1">
      <alignment horizontal="right" vertical="center"/>
    </xf>
    <xf numFmtId="168" fontId="10" fillId="0" borderId="15" xfId="1" applyNumberFormat="1" applyFont="1" applyBorder="1" applyAlignment="1">
      <alignment horizontal="right" vertical="center"/>
    </xf>
    <xf numFmtId="168" fontId="10" fillId="0" borderId="42" xfId="1" applyNumberFormat="1" applyFont="1" applyBorder="1" applyAlignment="1">
      <alignment horizontal="right" vertical="center"/>
    </xf>
    <xf numFmtId="37" fontId="10" fillId="0" borderId="32" xfId="1" applyNumberFormat="1" applyFont="1" applyBorder="1" applyAlignment="1">
      <alignment horizontal="right" vertical="center"/>
    </xf>
    <xf numFmtId="37" fontId="10" fillId="0" borderId="0" xfId="1" applyNumberFormat="1" applyFont="1" applyBorder="1" applyAlignment="1">
      <alignment horizontal="right" vertical="center"/>
    </xf>
    <xf numFmtId="37" fontId="10" fillId="3" borderId="30" xfId="1" applyNumberFormat="1" applyFont="1" applyFill="1" applyBorder="1" applyAlignment="1">
      <alignment horizontal="right" vertical="center" wrapText="1"/>
    </xf>
    <xf numFmtId="37" fontId="10" fillId="3" borderId="0" xfId="1" applyNumberFormat="1" applyFont="1" applyFill="1" applyBorder="1" applyAlignment="1">
      <alignment horizontal="right" vertical="center" wrapText="1"/>
    </xf>
    <xf numFmtId="37" fontId="10" fillId="3" borderId="41" xfId="1" applyNumberFormat="1" applyFont="1" applyFill="1" applyBorder="1" applyAlignment="1">
      <alignment horizontal="right" vertical="center"/>
    </xf>
    <xf numFmtId="37" fontId="10" fillId="3" borderId="3" xfId="1" applyNumberFormat="1" applyFont="1" applyFill="1" applyBorder="1" applyAlignment="1">
      <alignment horizontal="right" vertical="center"/>
    </xf>
    <xf numFmtId="37" fontId="10" fillId="3" borderId="42" xfId="1" applyNumberFormat="1" applyFont="1" applyFill="1" applyBorder="1" applyAlignment="1">
      <alignment horizontal="right" vertical="center"/>
    </xf>
    <xf numFmtId="37" fontId="10" fillId="3" borderId="15" xfId="1" applyNumberFormat="1" applyFont="1" applyFill="1" applyBorder="1" applyAlignment="1">
      <alignment horizontal="right" vertical="center"/>
    </xf>
    <xf numFmtId="49" fontId="5" fillId="0" borderId="0" xfId="9" applyNumberFormat="1" applyFont="1" applyAlignment="1">
      <alignment horizontal="left" vertical="center" readingOrder="1"/>
    </xf>
    <xf numFmtId="0" fontId="10" fillId="2" borderId="0" xfId="0" applyFont="1" applyFill="1" applyAlignment="1">
      <alignment horizontal="right" vertical="center" readingOrder="2"/>
    </xf>
    <xf numFmtId="168" fontId="15" fillId="0" borderId="16" xfId="1" applyNumberFormat="1" applyFont="1" applyFill="1" applyBorder="1" applyAlignment="1">
      <alignment vertical="center" wrapText="1"/>
    </xf>
    <xf numFmtId="168" fontId="10" fillId="3" borderId="27" xfId="1" applyNumberFormat="1" applyFont="1" applyFill="1" applyBorder="1" applyAlignment="1">
      <alignment vertical="center" wrapText="1" readingOrder="1"/>
    </xf>
    <xf numFmtId="0" fontId="9" fillId="0" borderId="8" xfId="0" applyFont="1" applyBorder="1" applyAlignment="1">
      <alignment horizontal="justify" vertical="center" wrapText="1"/>
    </xf>
    <xf numFmtId="1" fontId="22" fillId="0" borderId="8" xfId="6" applyNumberFormat="1" applyFont="1" applyBorder="1" applyAlignment="1">
      <alignment horizontal="left" vertical="center" wrapText="1"/>
    </xf>
    <xf numFmtId="0" fontId="9" fillId="3" borderId="40" xfId="0" applyFont="1" applyFill="1" applyBorder="1" applyAlignment="1">
      <alignment vertical="center" wrapText="1" readingOrder="2"/>
    </xf>
    <xf numFmtId="1" fontId="11" fillId="3" borderId="40" xfId="0" applyNumberFormat="1" applyFont="1" applyFill="1" applyBorder="1" applyAlignment="1">
      <alignment horizontal="left" vertical="center" wrapText="1" readingOrder="1"/>
    </xf>
    <xf numFmtId="167" fontId="11" fillId="3" borderId="40" xfId="1" applyNumberFormat="1" applyFont="1" applyFill="1" applyBorder="1" applyAlignment="1">
      <alignment horizontal="center" vertical="center"/>
    </xf>
    <xf numFmtId="0" fontId="9" fillId="3" borderId="3" xfId="0" applyFont="1" applyFill="1" applyBorder="1" applyAlignment="1">
      <alignment vertical="center" wrapText="1" readingOrder="2"/>
    </xf>
    <xf numFmtId="168" fontId="11" fillId="0" borderId="3" xfId="1" applyNumberFormat="1" applyFont="1" applyFill="1" applyBorder="1" applyAlignment="1">
      <alignment horizontal="center" vertical="center"/>
    </xf>
    <xf numFmtId="1" fontId="11" fillId="3" borderId="3" xfId="0" applyNumberFormat="1" applyFont="1" applyFill="1" applyBorder="1" applyAlignment="1">
      <alignment horizontal="left" vertical="center" wrapText="1" readingOrder="1"/>
    </xf>
    <xf numFmtId="0" fontId="15" fillId="0" borderId="0" xfId="7" applyFont="1" applyAlignment="1">
      <alignment horizontal="left" vertical="center" wrapText="1" indent="3"/>
    </xf>
    <xf numFmtId="167" fontId="11" fillId="3" borderId="3" xfId="1" applyNumberFormat="1" applyFont="1" applyFill="1" applyBorder="1" applyAlignment="1">
      <alignment horizontal="center" vertical="center"/>
    </xf>
    <xf numFmtId="167" fontId="11" fillId="3" borderId="0" xfId="1" applyNumberFormat="1" applyFont="1" applyFill="1" applyBorder="1" applyAlignment="1">
      <alignment horizontal="right" vertical="center"/>
    </xf>
    <xf numFmtId="167" fontId="10" fillId="3" borderId="0" xfId="1" applyNumberFormat="1" applyFont="1" applyFill="1" applyBorder="1" applyAlignment="1">
      <alignment horizontal="right" vertical="center"/>
    </xf>
    <xf numFmtId="167" fontId="22" fillId="0" borderId="17" xfId="1" applyNumberFormat="1" applyFont="1" applyFill="1" applyBorder="1" applyAlignment="1">
      <alignment horizontal="right" vertical="center" wrapText="1"/>
    </xf>
    <xf numFmtId="167" fontId="11" fillId="3" borderId="0" xfId="1" applyNumberFormat="1" applyFont="1" applyFill="1" applyBorder="1" applyAlignment="1">
      <alignment vertical="center"/>
    </xf>
    <xf numFmtId="167" fontId="10" fillId="3" borderId="0" xfId="1" applyNumberFormat="1" applyFont="1" applyFill="1" applyBorder="1" applyAlignment="1">
      <alignment vertical="center"/>
    </xf>
    <xf numFmtId="167" fontId="22" fillId="0" borderId="17" xfId="1" applyNumberFormat="1" applyFont="1" applyFill="1" applyBorder="1" applyAlignment="1">
      <alignment vertical="center" wrapText="1"/>
    </xf>
    <xf numFmtId="0" fontId="10" fillId="0" borderId="0" xfId="10" applyFont="1" applyAlignment="1">
      <alignment horizontal="right" vertical="center" wrapText="1"/>
    </xf>
    <xf numFmtId="0" fontId="20" fillId="0" borderId="0" xfId="10" applyFont="1" applyAlignment="1">
      <alignment horizontal="right" vertical="center"/>
    </xf>
    <xf numFmtId="0" fontId="41" fillId="4" borderId="0" xfId="10" applyFont="1" applyFill="1" applyAlignment="1">
      <alignment horizontal="right" vertical="center" wrapText="1"/>
    </xf>
    <xf numFmtId="0" fontId="9" fillId="0" borderId="0" xfId="10" applyFont="1" applyAlignment="1">
      <alignment horizontal="center" vertical="center"/>
    </xf>
    <xf numFmtId="0" fontId="42" fillId="0" borderId="0" xfId="33" applyFont="1" applyAlignment="1">
      <alignment horizontal="right" vertical="center" indent="1" readingOrder="2"/>
    </xf>
    <xf numFmtId="0" fontId="27" fillId="0" borderId="0" xfId="33" applyFont="1" applyAlignment="1">
      <alignment horizontal="left" vertical="center" indent="1" readingOrder="2"/>
    </xf>
    <xf numFmtId="0" fontId="44" fillId="0" borderId="0" xfId="33" applyFont="1" applyAlignment="1">
      <alignment horizontal="left" vertical="center" wrapText="1" indent="1"/>
    </xf>
    <xf numFmtId="0" fontId="28" fillId="0" borderId="0" xfId="10" applyFont="1" applyAlignment="1">
      <alignment horizontal="right" vertical="center"/>
    </xf>
    <xf numFmtId="0" fontId="11" fillId="0" borderId="0" xfId="19" applyFont="1" applyAlignment="1">
      <alignment horizontal="center" vertical="center"/>
    </xf>
    <xf numFmtId="0" fontId="42" fillId="0" borderId="0" xfId="10" applyFont="1" applyAlignment="1">
      <alignment horizontal="right" vertical="center" wrapText="1" indent="1"/>
    </xf>
    <xf numFmtId="0" fontId="10" fillId="0" borderId="0" xfId="10" applyFont="1" applyAlignment="1">
      <alignment horizontal="left" vertical="center" wrapText="1" indent="1"/>
    </xf>
    <xf numFmtId="0" fontId="10" fillId="0" borderId="0" xfId="10" applyFont="1" applyAlignment="1">
      <alignment horizontal="left" vertical="center" wrapText="1" indent="1" readingOrder="1"/>
    </xf>
    <xf numFmtId="0" fontId="4" fillId="0" borderId="0" xfId="32" applyFont="1" applyAlignment="1">
      <alignment horizontal="right" vertical="center" indent="1" readingOrder="2"/>
    </xf>
    <xf numFmtId="0" fontId="33" fillId="0" borderId="0" xfId="10" applyFont="1" applyAlignment="1">
      <alignment horizontal="right" vertical="center"/>
    </xf>
    <xf numFmtId="0" fontId="4" fillId="0" borderId="0" xfId="10" applyAlignment="1">
      <alignment horizontal="right" vertical="center" indent="1"/>
    </xf>
    <xf numFmtId="0" fontId="13" fillId="4" borderId="0" xfId="19" applyFont="1" applyFill="1" applyAlignment="1">
      <alignment horizontal="center" vertical="center"/>
    </xf>
    <xf numFmtId="0" fontId="12" fillId="4" borderId="0" xfId="19" applyFont="1" applyFill="1" applyAlignment="1">
      <alignment horizontal="right" vertical="center" readingOrder="2"/>
    </xf>
    <xf numFmtId="0" fontId="13" fillId="4" borderId="0" xfId="19" applyFont="1" applyFill="1" applyAlignment="1">
      <alignment horizontal="center" vertical="center" readingOrder="1"/>
    </xf>
    <xf numFmtId="0" fontId="4" fillId="0" borderId="18" xfId="10" applyBorder="1" applyAlignment="1">
      <alignment horizontal="right" vertical="center"/>
    </xf>
    <xf numFmtId="0" fontId="10" fillId="0" borderId="18" xfId="10" applyFont="1" applyBorder="1" applyAlignment="1">
      <alignment horizontal="right" vertical="center" wrapText="1"/>
    </xf>
    <xf numFmtId="0" fontId="20" fillId="0" borderId="0" xfId="10" applyFont="1" applyAlignment="1">
      <alignment horizontal="right" vertical="center" wrapText="1"/>
    </xf>
    <xf numFmtId="2" fontId="11" fillId="0" borderId="0" xfId="10" applyNumberFormat="1" applyFont="1" applyAlignment="1">
      <alignment horizontal="center" vertical="center"/>
    </xf>
    <xf numFmtId="0" fontId="10" fillId="0" borderId="18" xfId="10" applyFont="1" applyBorder="1" applyAlignment="1">
      <alignment horizontal="center" vertical="center"/>
    </xf>
    <xf numFmtId="0" fontId="9" fillId="0" borderId="0" xfId="32" applyFont="1" applyAlignment="1">
      <alignment horizontal="center" vertical="center" wrapText="1" readingOrder="2"/>
    </xf>
    <xf numFmtId="0" fontId="9" fillId="0" borderId="0" xfId="16" applyFont="1" applyAlignment="1">
      <alignment horizontal="center" vertical="center" wrapText="1" readingOrder="2"/>
    </xf>
    <xf numFmtId="0" fontId="43" fillId="0" borderId="0" xfId="33" applyFont="1" applyAlignment="1">
      <alignment horizontal="center" vertical="center" wrapText="1" readingOrder="1"/>
    </xf>
    <xf numFmtId="0" fontId="11" fillId="0" borderId="0" xfId="10" applyFont="1" applyAlignment="1">
      <alignment horizontal="center" vertical="center" wrapText="1"/>
    </xf>
    <xf numFmtId="0" fontId="45" fillId="0" borderId="0" xfId="33" applyFont="1" applyAlignment="1">
      <alignment horizontal="center" vertical="center" wrapText="1" readingOrder="1"/>
    </xf>
    <xf numFmtId="0" fontId="11" fillId="0" borderId="0" xfId="33" applyFont="1" applyAlignment="1">
      <alignment horizontal="center" vertical="center" wrapText="1" readingOrder="1"/>
    </xf>
    <xf numFmtId="0" fontId="45" fillId="0" borderId="0" xfId="32" applyFont="1" applyAlignment="1">
      <alignment horizontal="center" vertical="center" wrapText="1" readingOrder="1"/>
    </xf>
    <xf numFmtId="0" fontId="45" fillId="0" borderId="0" xfId="16" applyFont="1" applyAlignment="1">
      <alignment horizontal="center" vertical="center" wrapText="1" readingOrder="1"/>
    </xf>
    <xf numFmtId="1" fontId="45" fillId="0" borderId="0" xfId="16" applyNumberFormat="1" applyFont="1" applyAlignment="1">
      <alignment horizontal="center" vertical="center" wrapText="1" readingOrder="1"/>
    </xf>
    <xf numFmtId="0" fontId="12" fillId="4" borderId="0" xfId="10" applyFont="1" applyFill="1" applyAlignment="1">
      <alignment horizontal="center" vertical="center" wrapText="1" readingOrder="2"/>
    </xf>
    <xf numFmtId="0" fontId="9" fillId="0" borderId="0" xfId="33" applyFont="1" applyAlignment="1">
      <alignment horizontal="center" vertical="center" wrapText="1" readingOrder="2"/>
    </xf>
    <xf numFmtId="0" fontId="12" fillId="4" borderId="0" xfId="19" applyFont="1" applyFill="1" applyAlignment="1">
      <alignment horizontal="center" vertical="center" wrapText="1" readingOrder="2"/>
    </xf>
    <xf numFmtId="0" fontId="11" fillId="6" borderId="0" xfId="10" applyFont="1" applyFill="1" applyAlignment="1">
      <alignment horizontal="center" vertical="center"/>
    </xf>
    <xf numFmtId="0" fontId="9" fillId="6" borderId="0" xfId="16" applyFont="1" applyFill="1" applyAlignment="1">
      <alignment horizontal="center" vertical="center" wrapText="1" readingOrder="2"/>
    </xf>
    <xf numFmtId="0" fontId="4" fillId="6" borderId="0" xfId="19" applyFill="1" applyAlignment="1">
      <alignment horizontal="right" vertical="center" wrapText="1" indent="1"/>
    </xf>
    <xf numFmtId="0" fontId="27" fillId="6" borderId="0" xfId="19" applyFont="1" applyFill="1" applyAlignment="1">
      <alignment horizontal="left" vertical="center" wrapText="1" indent="1" readingOrder="1"/>
    </xf>
    <xf numFmtId="0" fontId="45" fillId="6" borderId="0" xfId="16" applyFont="1" applyFill="1" applyAlignment="1">
      <alignment horizontal="center" vertical="center" wrapText="1" readingOrder="1"/>
    </xf>
    <xf numFmtId="0" fontId="4" fillId="6" borderId="0" xfId="9" applyFill="1" applyAlignment="1">
      <alignment horizontal="right" vertical="center" wrapText="1"/>
    </xf>
    <xf numFmtId="0" fontId="27" fillId="6" borderId="0" xfId="16" applyFont="1" applyFill="1" applyAlignment="1">
      <alignment horizontal="left" vertical="center" wrapText="1" readingOrder="1"/>
    </xf>
    <xf numFmtId="2" fontId="11" fillId="6" borderId="0" xfId="10" applyNumberFormat="1" applyFont="1" applyFill="1" applyAlignment="1">
      <alignment horizontal="center" vertical="center"/>
    </xf>
    <xf numFmtId="0" fontId="4" fillId="6" borderId="0" xfId="16" applyFont="1" applyFill="1" applyAlignment="1">
      <alignment horizontal="right" vertical="center" wrapText="1" readingOrder="2"/>
    </xf>
    <xf numFmtId="1" fontId="45" fillId="6" borderId="0" xfId="16" applyNumberFormat="1" applyFont="1" applyFill="1" applyAlignment="1">
      <alignment horizontal="center" vertical="center" wrapText="1" readingOrder="1"/>
    </xf>
    <xf numFmtId="0" fontId="11" fillId="0" borderId="18" xfId="10" applyFont="1" applyBorder="1" applyAlignment="1">
      <alignment horizontal="center" vertical="center"/>
    </xf>
    <xf numFmtId="0" fontId="12" fillId="4" borderId="0" xfId="19" applyFont="1" applyFill="1" applyAlignment="1">
      <alignment vertical="center" wrapText="1" readingOrder="2"/>
    </xf>
    <xf numFmtId="0" fontId="9" fillId="0" borderId="18" xfId="10" applyFont="1" applyBorder="1" applyAlignment="1">
      <alignment horizontal="center" vertical="center" wrapText="1"/>
    </xf>
    <xf numFmtId="0" fontId="11" fillId="0" borderId="18" xfId="10" applyFont="1" applyBorder="1" applyAlignment="1">
      <alignment horizontal="center" vertical="center" wrapText="1"/>
    </xf>
    <xf numFmtId="0" fontId="11" fillId="0" borderId="0" xfId="9" applyFont="1" applyAlignment="1">
      <alignment horizontal="center" vertical="center"/>
    </xf>
    <xf numFmtId="0" fontId="4" fillId="0" borderId="0" xfId="0" applyFont="1" applyAlignment="1">
      <alignment horizontal="center" vertical="center"/>
    </xf>
    <xf numFmtId="0" fontId="5" fillId="0" borderId="18" xfId="9" applyFont="1" applyBorder="1" applyAlignment="1">
      <alignment horizontal="right" vertical="center" readingOrder="2"/>
    </xf>
    <xf numFmtId="0" fontId="10" fillId="0" borderId="0" xfId="9" applyFont="1" applyAlignment="1">
      <alignment vertical="center" wrapText="1" readingOrder="1"/>
    </xf>
    <xf numFmtId="0" fontId="9" fillId="0" borderId="0" xfId="9" applyFont="1" applyAlignment="1">
      <alignment vertical="center" wrapText="1"/>
    </xf>
    <xf numFmtId="0" fontId="11" fillId="0" borderId="0" xfId="9" applyFont="1" applyAlignment="1">
      <alignment vertical="center" wrapText="1" readingOrder="1"/>
    </xf>
    <xf numFmtId="0" fontId="9" fillId="0" borderId="3" xfId="9" applyFont="1" applyBorder="1" applyAlignment="1">
      <alignment vertical="center"/>
    </xf>
    <xf numFmtId="0" fontId="11" fillId="0" borderId="3" xfId="9" applyFont="1" applyBorder="1" applyAlignment="1">
      <alignment horizontal="center" vertical="center"/>
    </xf>
    <xf numFmtId="0" fontId="9" fillId="0" borderId="3" xfId="9" applyFont="1" applyBorder="1" applyAlignment="1">
      <alignment vertical="center" wrapText="1"/>
    </xf>
    <xf numFmtId="0" fontId="11" fillId="0" borderId="3" xfId="9" applyFont="1" applyBorder="1" applyAlignment="1">
      <alignment vertical="center" wrapText="1" readingOrder="1"/>
    </xf>
    <xf numFmtId="0" fontId="11" fillId="0" borderId="0" xfId="9" applyFont="1" applyAlignment="1">
      <alignment vertical="center" wrapText="1"/>
    </xf>
    <xf numFmtId="0" fontId="11" fillId="0" borderId="3" xfId="9" applyFont="1" applyBorder="1" applyAlignment="1">
      <alignment vertical="center" wrapText="1"/>
    </xf>
    <xf numFmtId="0" fontId="9" fillId="0" borderId="14" xfId="9" applyFont="1" applyBorder="1" applyAlignment="1">
      <alignment vertical="center" wrapText="1"/>
    </xf>
    <xf numFmtId="0" fontId="11" fillId="0" borderId="14" xfId="9" applyFont="1" applyBorder="1" applyAlignment="1">
      <alignment horizontal="center" vertical="center"/>
    </xf>
    <xf numFmtId="0" fontId="11" fillId="0" borderId="14" xfId="9" applyFont="1" applyBorder="1" applyAlignment="1">
      <alignment vertical="center" wrapText="1" readingOrder="1"/>
    </xf>
    <xf numFmtId="0" fontId="5" fillId="0" borderId="18" xfId="9" applyFont="1" applyBorder="1" applyAlignment="1">
      <alignment vertical="center" readingOrder="2"/>
    </xf>
    <xf numFmtId="0" fontId="5" fillId="0" borderId="0" xfId="9" applyFont="1" applyAlignment="1">
      <alignment vertical="center" readingOrder="2"/>
    </xf>
    <xf numFmtId="174" fontId="11" fillId="3" borderId="0" xfId="1" applyNumberFormat="1" applyFont="1" applyFill="1" applyAlignment="1">
      <alignment vertical="center"/>
    </xf>
    <xf numFmtId="0" fontId="14" fillId="0" borderId="16" xfId="7" applyFont="1" applyBorder="1" applyAlignment="1">
      <alignment horizontal="center" vertical="center" wrapText="1"/>
    </xf>
    <xf numFmtId="170" fontId="4" fillId="0" borderId="0" xfId="14" applyNumberFormat="1" applyFont="1" applyAlignment="1">
      <alignment horizontal="center" vertical="center"/>
    </xf>
    <xf numFmtId="168" fontId="4" fillId="0" borderId="0" xfId="0" applyNumberFormat="1" applyFont="1" applyAlignment="1">
      <alignment horizontal="center" vertical="center"/>
    </xf>
    <xf numFmtId="164" fontId="4" fillId="0" borderId="0" xfId="9" applyNumberFormat="1"/>
    <xf numFmtId="169" fontId="10" fillId="0" borderId="0" xfId="1" applyNumberFormat="1" applyFont="1" applyAlignment="1">
      <alignment vertical="center" readingOrder="2"/>
    </xf>
    <xf numFmtId="168" fontId="10" fillId="0" borderId="0" xfId="1" applyNumberFormat="1" applyFont="1" applyAlignment="1">
      <alignment vertical="center" readingOrder="2"/>
    </xf>
    <xf numFmtId="1" fontId="10" fillId="0" borderId="0" xfId="0" applyNumberFormat="1" applyFont="1" applyAlignment="1">
      <alignment vertical="center" readingOrder="2"/>
    </xf>
    <xf numFmtId="0" fontId="5" fillId="3" borderId="0" xfId="9" applyFont="1" applyFill="1" applyAlignment="1">
      <alignment horizontal="right" vertical="center"/>
    </xf>
    <xf numFmtId="0" fontId="11" fillId="0" borderId="0" xfId="7" applyFont="1" applyAlignment="1">
      <alignment horizontal="left" vertical="center" wrapText="1"/>
    </xf>
    <xf numFmtId="0" fontId="9" fillId="0" borderId="0" xfId="0" applyFont="1" applyAlignment="1">
      <alignment horizontal="center" vertical="center"/>
    </xf>
    <xf numFmtId="0" fontId="9" fillId="2" borderId="0" xfId="9" applyFont="1" applyFill="1" applyAlignment="1">
      <alignment horizontal="center" readingOrder="2"/>
    </xf>
    <xf numFmtId="0" fontId="9" fillId="0" borderId="0" xfId="9" applyFont="1" applyAlignment="1">
      <alignment horizontal="center" vertical="center"/>
    </xf>
    <xf numFmtId="0" fontId="9" fillId="2" borderId="0" xfId="9" applyFont="1" applyFill="1" applyAlignment="1">
      <alignment horizontal="center" readingOrder="1"/>
    </xf>
    <xf numFmtId="0" fontId="11" fillId="0" borderId="0" xfId="9" applyFont="1" applyAlignment="1">
      <alignment horizontal="center" vertical="center"/>
    </xf>
    <xf numFmtId="0" fontId="13" fillId="4" borderId="0" xfId="19" applyFont="1" applyFill="1" applyAlignment="1">
      <alignment horizontal="left" vertical="center" wrapText="1" indent="1"/>
    </xf>
    <xf numFmtId="0" fontId="10" fillId="0" borderId="0" xfId="10" applyFont="1" applyAlignment="1">
      <alignment horizontal="left" vertical="center" indent="2"/>
    </xf>
    <xf numFmtId="0" fontId="4" fillId="0" borderId="0" xfId="10" applyAlignment="1">
      <alignment horizontal="right" vertical="center" indent="1"/>
    </xf>
    <xf numFmtId="0" fontId="13" fillId="4" borderId="0" xfId="10" applyFont="1" applyFill="1" applyAlignment="1">
      <alignment horizontal="left" vertical="center" wrapText="1"/>
    </xf>
    <xf numFmtId="0" fontId="49" fillId="0" borderId="0" xfId="32" applyFont="1" applyAlignment="1">
      <alignment vertical="center" wrapText="1"/>
    </xf>
    <xf numFmtId="0" fontId="38" fillId="6" borderId="0" xfId="16" applyFont="1" applyFill="1" applyAlignment="1">
      <alignment horizontal="center" vertical="center" readingOrder="2"/>
    </xf>
    <xf numFmtId="0" fontId="37" fillId="6" borderId="0" xfId="16" applyFont="1" applyFill="1" applyAlignment="1">
      <alignment horizontal="center" vertical="center" wrapText="1"/>
    </xf>
    <xf numFmtId="0" fontId="4" fillId="0" borderId="0" xfId="32" applyFont="1" applyAlignment="1">
      <alignment horizontal="center" vertical="center" readingOrder="2"/>
    </xf>
    <xf numFmtId="0" fontId="46" fillId="0" borderId="0" xfId="32" applyFont="1" applyAlignment="1">
      <alignment horizontal="center" vertical="center" readingOrder="2"/>
    </xf>
    <xf numFmtId="0" fontId="40" fillId="0" borderId="0" xfId="10" applyFont="1" applyAlignment="1">
      <alignment horizontal="center" vertical="center"/>
    </xf>
    <xf numFmtId="0" fontId="4" fillId="0" borderId="0" xfId="10" applyAlignment="1">
      <alignment horizontal="center" vertical="center" wrapText="1"/>
    </xf>
    <xf numFmtId="0" fontId="46" fillId="0" borderId="0" xfId="32" applyFont="1" applyAlignment="1">
      <alignment horizontal="center" vertical="center" wrapText="1"/>
    </xf>
    <xf numFmtId="0" fontId="47" fillId="0" borderId="0" xfId="34" applyFont="1" applyFill="1" applyBorder="1" applyAlignment="1">
      <alignment horizontal="center" vertical="center" wrapText="1" readingOrder="2"/>
    </xf>
    <xf numFmtId="0" fontId="48" fillId="0" borderId="0" xfId="34" applyFont="1" applyFill="1" applyBorder="1" applyAlignment="1">
      <alignment horizontal="center" vertical="center" wrapText="1" readingOrder="2"/>
    </xf>
    <xf numFmtId="14" fontId="4" fillId="0" borderId="0" xfId="10" applyNumberFormat="1" applyAlignment="1">
      <alignment horizontal="center" vertical="center" wrapText="1"/>
    </xf>
    <xf numFmtId="0" fontId="10" fillId="0" borderId="18" xfId="9" applyFont="1" applyBorder="1" applyAlignment="1">
      <alignment horizontal="right" vertical="center" readingOrder="2"/>
    </xf>
    <xf numFmtId="0" fontId="10" fillId="0" borderId="0" xfId="9" applyFont="1" applyAlignment="1">
      <alignment horizontal="right" vertical="center" readingOrder="2"/>
    </xf>
    <xf numFmtId="0" fontId="11" fillId="0" borderId="0" xfId="0" applyFont="1" applyAlignment="1">
      <alignment horizontal="center" vertical="center"/>
    </xf>
    <xf numFmtId="49" fontId="10" fillId="0" borderId="39" xfId="0" applyNumberFormat="1" applyFont="1" applyBorder="1" applyAlignment="1">
      <alignment horizontal="right" vertical="center" wrapText="1" readingOrder="2"/>
    </xf>
    <xf numFmtId="0" fontId="9" fillId="0" borderId="0" xfId="0" applyFont="1" applyAlignment="1">
      <alignment horizontal="center" vertical="center" readingOrder="2"/>
    </xf>
    <xf numFmtId="0" fontId="11" fillId="0" borderId="0" xfId="0" applyFont="1" applyAlignment="1">
      <alignment horizontal="center" vertical="center" readingOrder="1"/>
    </xf>
    <xf numFmtId="0" fontId="4" fillId="0" borderId="0" xfId="0" applyFont="1" applyAlignment="1">
      <alignment horizontal="center" vertical="center"/>
    </xf>
    <xf numFmtId="0" fontId="5" fillId="0" borderId="18" xfId="9" applyFont="1" applyBorder="1" applyAlignment="1">
      <alignment horizontal="right" vertical="center" readingOrder="2"/>
    </xf>
    <xf numFmtId="0" fontId="5" fillId="0" borderId="0" xfId="9" applyFont="1" applyAlignment="1">
      <alignment horizontal="right" vertical="center" readingOrder="2"/>
    </xf>
    <xf numFmtId="49" fontId="10" fillId="0" borderId="0" xfId="0" applyNumberFormat="1" applyFont="1" applyAlignment="1">
      <alignment horizontal="right" vertical="center" wrapText="1" readingOrder="2"/>
    </xf>
    <xf numFmtId="0" fontId="23" fillId="3" borderId="3" xfId="4" applyFont="1" applyFill="1" applyBorder="1" applyAlignment="1">
      <alignment horizontal="right" vertical="center" wrapText="1"/>
    </xf>
    <xf numFmtId="168" fontId="11" fillId="3" borderId="14" xfId="1" applyNumberFormat="1" applyFont="1" applyFill="1" applyBorder="1" applyAlignment="1">
      <alignment horizontal="right" vertical="center" wrapText="1"/>
    </xf>
    <xf numFmtId="0" fontId="23" fillId="3" borderId="13" xfId="4" applyFont="1" applyFill="1" applyBorder="1" applyAlignment="1">
      <alignment horizontal="right" vertical="center" wrapText="1"/>
    </xf>
    <xf numFmtId="0" fontId="9" fillId="3" borderId="14" xfId="4" applyFont="1" applyFill="1" applyBorder="1" applyAlignment="1">
      <alignment horizontal="right" vertical="center" wrapText="1"/>
    </xf>
    <xf numFmtId="0" fontId="9" fillId="3" borderId="26" xfId="4" applyFont="1" applyFill="1" applyBorder="1" applyAlignment="1">
      <alignment horizontal="right" vertical="center" wrapText="1"/>
    </xf>
    <xf numFmtId="0" fontId="4" fillId="0" borderId="0" xfId="0" applyFont="1" applyAlignment="1">
      <alignment horizontal="center"/>
    </xf>
    <xf numFmtId="0" fontId="9" fillId="3" borderId="0" xfId="0" applyFont="1" applyFill="1" applyAlignment="1">
      <alignment horizontal="center" vertical="center" readingOrder="2"/>
    </xf>
    <xf numFmtId="0" fontId="11" fillId="3" borderId="0" xfId="0" applyFont="1" applyFill="1" applyAlignment="1">
      <alignment horizontal="center" vertical="center" readingOrder="1"/>
    </xf>
    <xf numFmtId="0" fontId="13" fillId="4" borderId="1" xfId="4" applyFont="1" applyFill="1" applyBorder="1" applyAlignment="1">
      <alignment horizontal="center" vertical="center" wrapText="1"/>
    </xf>
    <xf numFmtId="0" fontId="12" fillId="4" borderId="1" xfId="4" applyFont="1" applyFill="1" applyBorder="1" applyAlignment="1">
      <alignment horizontal="center" vertical="center" wrapText="1"/>
    </xf>
    <xf numFmtId="0" fontId="9" fillId="2" borderId="0" xfId="9" applyFont="1" applyFill="1" applyAlignment="1">
      <alignment horizontal="center" vertical="center" readingOrder="2"/>
    </xf>
    <xf numFmtId="0" fontId="11" fillId="2" borderId="0" xfId="9" applyFont="1" applyFill="1" applyAlignment="1">
      <alignment horizontal="center" vertical="center" readingOrder="1"/>
    </xf>
    <xf numFmtId="0" fontId="9" fillId="2" borderId="0" xfId="9" applyFont="1" applyFill="1" applyAlignment="1">
      <alignment horizontal="center" vertical="center"/>
    </xf>
    <xf numFmtId="0" fontId="11" fillId="2" borderId="0" xfId="9" applyFont="1" applyFill="1" applyAlignment="1">
      <alignment horizontal="center" vertical="center"/>
    </xf>
    <xf numFmtId="0" fontId="9" fillId="0" borderId="0" xfId="3" applyFont="1" applyAlignment="1">
      <alignment horizontal="center" vertical="center" wrapText="1"/>
    </xf>
    <xf numFmtId="0" fontId="11" fillId="0" borderId="0" xfId="3" applyFont="1" applyAlignment="1">
      <alignment horizontal="center" vertical="center" wrapText="1"/>
    </xf>
    <xf numFmtId="0" fontId="11" fillId="0" borderId="0" xfId="3" applyFont="1" applyAlignment="1">
      <alignment horizontal="center" vertical="center"/>
    </xf>
  </cellXfs>
  <cellStyles count="35">
    <cellStyle name="=C:\WINNT35\SYSTEM32\COMMAND.COM" xfId="30" xr:uid="{7E7D6610-56C7-47F0-B70E-FE30589B28AD}"/>
    <cellStyle name="Comma" xfId="1" builtinId="3"/>
    <cellStyle name="Comma 2" xfId="2" xr:uid="{00000000-0005-0000-0000-000001000000}"/>
    <cellStyle name="Comma 2 2" xfId="11" xr:uid="{00000000-0005-0000-0000-000002000000}"/>
    <cellStyle name="Comma 2 3" xfId="13" xr:uid="{00000000-0005-0000-0000-000003000000}"/>
    <cellStyle name="Comma 3" xfId="8" xr:uid="{00000000-0005-0000-0000-000004000000}"/>
    <cellStyle name="Comma 3 2" xfId="29" xr:uid="{53C46D65-633B-473D-A1B3-A3513068555D}"/>
    <cellStyle name="Comma 4" xfId="22" xr:uid="{C876440A-7492-49FD-9B1A-7354DDD215BF}"/>
    <cellStyle name="Hyperlink 2" xfId="17" xr:uid="{00000000-0005-0000-0000-000006000000}"/>
    <cellStyle name="Hyperlink 3" xfId="25" xr:uid="{C0A7A9CC-46EF-4DEE-B203-B7E16E7B791F}"/>
    <cellStyle name="Hyperlink 3 2" xfId="34" xr:uid="{42967B30-45DC-4E9C-99D1-15014499F7EC}"/>
    <cellStyle name="Normal" xfId="0" builtinId="0"/>
    <cellStyle name="Normal 13" xfId="16" xr:uid="{00000000-0005-0000-0000-000008000000}"/>
    <cellStyle name="Normal 13 2" xfId="18" xr:uid="{00000000-0005-0000-0000-000009000000}"/>
    <cellStyle name="Normal 14" xfId="9" xr:uid="{00000000-0005-0000-0000-00000A000000}"/>
    <cellStyle name="Normal 2" xfId="3" xr:uid="{00000000-0005-0000-0000-00000B000000}"/>
    <cellStyle name="Normal 2 2" xfId="10" xr:uid="{00000000-0005-0000-0000-00000C000000}"/>
    <cellStyle name="Normal 2 2 2 2" xfId="19" xr:uid="{FF90C4CF-1DD3-435A-89F8-A0F247A88843}"/>
    <cellStyle name="Normal 3" xfId="4" xr:uid="{00000000-0005-0000-0000-00000D000000}"/>
    <cellStyle name="Normal 4" xfId="5" xr:uid="{00000000-0005-0000-0000-00000E000000}"/>
    <cellStyle name="Normal 4 2" xfId="12" xr:uid="{00000000-0005-0000-0000-00000F000000}"/>
    <cellStyle name="Normal 4 3" xfId="27" xr:uid="{027EF161-1191-4D96-B2DB-CD4D2A100E83}"/>
    <cellStyle name="Normal 5" xfId="6" xr:uid="{00000000-0005-0000-0000-000010000000}"/>
    <cellStyle name="Normal 5 2" xfId="7" xr:uid="{00000000-0005-0000-0000-000011000000}"/>
    <cellStyle name="Normal 6" xfId="21" xr:uid="{22F7AC5F-1A60-4FA7-BCF6-3E1F153BBACD}"/>
    <cellStyle name="Normal 6 2" xfId="20" xr:uid="{F647C3F5-7934-4035-B8CA-7485ED1324C6}"/>
    <cellStyle name="Normal 6 3" xfId="26" xr:uid="{37ED2546-263E-4B7D-9F47-1EEB51408356}"/>
    <cellStyle name="Normal 7" xfId="32" xr:uid="{8AAD416C-5D92-49F9-B9BC-7C54DE6747A3}"/>
    <cellStyle name="Normal 7 2" xfId="23" xr:uid="{9003B8D4-4981-4A15-A59A-340F097779E5}"/>
    <cellStyle name="Normal 9" xfId="33" xr:uid="{AD7BA549-BD05-436F-8472-0DC08A46E869}"/>
    <cellStyle name="Normal 9 2" xfId="24" xr:uid="{7BAE09C4-CD75-49F1-8669-1EF0CB998F58}"/>
    <cellStyle name="Percent" xfId="14" builtinId="5"/>
    <cellStyle name="Percent 2" xfId="15" xr:uid="{00000000-0005-0000-0000-000013000000}"/>
    <cellStyle name="Percent 3" xfId="28" xr:uid="{0A6C0110-D570-474A-A815-CB8FA2E25AF0}"/>
    <cellStyle name="s94" xfId="31" xr:uid="{A2181D7A-48C1-4DF2-9118-8516F510434E}"/>
  </cellStyles>
  <dxfs count="32">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mruColors>
      <color rgb="FFB68A35"/>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 (جاري) حسب القطاعات </a:t>
            </a:r>
            <a:r>
              <a:rPr lang="ar-AE" sz="1100" b="1" i="0" u="none" strike="noStrike" baseline="0">
                <a:solidFill>
                  <a:srgbClr val="000000"/>
                </a:solidFill>
                <a:latin typeface="Arial"/>
                <a:cs typeface="Arial"/>
              </a:rPr>
              <a:t>(بالمليون درهم)</a:t>
            </a:r>
          </a:p>
        </c:rich>
      </c:tx>
      <c:overlay val="0"/>
      <c:spPr>
        <a:noFill/>
        <a:ln w="25400">
          <a:noFill/>
        </a:ln>
      </c:spPr>
    </c:title>
    <c:autoTitleDeleted val="0"/>
    <c:plotArea>
      <c:layout/>
      <c:barChart>
        <c:barDir val="col"/>
        <c:grouping val="clustered"/>
        <c:varyColors val="0"/>
        <c:ser>
          <c:idx val="0"/>
          <c:order val="0"/>
          <c:tx>
            <c:strRef>
              <c:f>'1-4'!$C$6</c:f>
              <c:strCache>
                <c:ptCount val="1"/>
                <c:pt idx="0">
                  <c:v>قطاع المشروعات غير المالية</c:v>
                </c:pt>
              </c:strCache>
            </c:strRef>
          </c:tx>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0-F8EA-44BE-BEAC-22E59726B1A7}"/>
            </c:ext>
          </c:extLst>
        </c:ser>
        <c:ser>
          <c:idx val="1"/>
          <c:order val="1"/>
          <c:tx>
            <c:strRef>
              <c:f>'1-4'!$C$21</c:f>
              <c:strCache>
                <c:ptCount val="1"/>
                <c:pt idx="0">
                  <c:v>أنشطة الصحة البشرية والخدمة الاجتماعية</c:v>
                </c:pt>
              </c:strCache>
            </c:strRef>
          </c:tx>
          <c:spPr>
            <a:solidFill>
              <a:srgbClr val="7030A0"/>
            </a:solidFill>
          </c:spPr>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1-F8EA-44BE-BEAC-22E59726B1A7}"/>
            </c:ext>
          </c:extLst>
        </c:ser>
        <c:ser>
          <c:idx val="2"/>
          <c:order val="2"/>
          <c:tx>
            <c:strRef>
              <c:f>'14-17'!#REF!</c:f>
              <c:strCache>
                <c:ptCount val="1"/>
                <c:pt idx="0">
                  <c:v>#REF!</c:v>
                </c:pt>
              </c:strCache>
            </c:strRef>
          </c:tx>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2-F8EA-44BE-BEAC-22E59726B1A7}"/>
            </c:ext>
          </c:extLst>
        </c:ser>
        <c:ser>
          <c:idx val="3"/>
          <c:order val="3"/>
          <c:tx>
            <c:strRef>
              <c:f>'1-4'!$B$27</c:f>
              <c:strCache>
                <c:ptCount val="1"/>
                <c:pt idx="0">
                  <c:v>**تقديرات أولية </c:v>
                </c:pt>
              </c:strCache>
            </c:strRef>
          </c:tx>
          <c:spPr>
            <a:solidFill>
              <a:schemeClr val="accent2">
                <a:lumMod val="75000"/>
              </a:schemeClr>
            </a:solidFill>
          </c:spPr>
          <c:invertIfNegative val="0"/>
          <c:val>
            <c:numRef>
              <c:f>'الناتج المحلي الجاري'!#REF!</c:f>
              <c:numCache>
                <c:formatCode>General</c:formatCode>
                <c:ptCount val="1"/>
                <c:pt idx="0">
                  <c:v>1</c:v>
                </c:pt>
              </c:numCache>
            </c:numRef>
          </c:val>
          <c:extLst>
            <c:ext xmlns:c16="http://schemas.microsoft.com/office/drawing/2014/chart" uri="{C3380CC4-5D6E-409C-BE32-E72D297353CC}">
              <c16:uniqueId val="{00000003-F8EA-44BE-BEAC-22E59726B1A7}"/>
            </c:ext>
          </c:extLst>
        </c:ser>
        <c:dLbls>
          <c:showLegendKey val="0"/>
          <c:showVal val="0"/>
          <c:showCatName val="0"/>
          <c:showSerName val="0"/>
          <c:showPercent val="0"/>
          <c:showBubbleSize val="0"/>
        </c:dLbls>
        <c:gapWidth val="75"/>
        <c:overlap val="-25"/>
        <c:axId val="-930586720"/>
        <c:axId val="-930569856"/>
      </c:barChart>
      <c:catAx>
        <c:axId val="-930586720"/>
        <c:scaling>
          <c:orientation val="minMax"/>
        </c:scaling>
        <c:delete val="0"/>
        <c:axPos val="b"/>
        <c:numFmt formatCode="General" sourceLinked="1"/>
        <c:majorTickMark val="out"/>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69856"/>
        <c:crosses val="autoZero"/>
        <c:auto val="1"/>
        <c:lblAlgn val="ctr"/>
        <c:lblOffset val="100"/>
        <c:noMultiLvlLbl val="0"/>
      </c:catAx>
      <c:valAx>
        <c:axId val="-930569856"/>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86720"/>
        <c:crosses val="autoZero"/>
        <c:crossBetween val="between"/>
      </c:valAx>
      <c:spPr>
        <a:gradFill flip="none" rotWithShape="1">
          <a:gsLst>
            <a:gs pos="0">
              <a:srgbClr val="5E9EFF"/>
            </a:gs>
            <a:gs pos="39999">
              <a:srgbClr val="85C2FF"/>
            </a:gs>
            <a:gs pos="70000">
              <a:srgbClr val="C4D6EB"/>
            </a:gs>
            <a:gs pos="100000">
              <a:srgbClr val="FFEBFA"/>
            </a:gs>
          </a:gsLst>
          <a:lin ang="16200000" scaled="1"/>
          <a:tileRect/>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2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الإجمالي النفطي والغير نفطي (جاري)  </a:t>
            </a:r>
            <a:r>
              <a:rPr lang="ar-AE" sz="1200" b="1" i="0" u="none" strike="noStrike" baseline="0">
                <a:solidFill>
                  <a:srgbClr val="000000"/>
                </a:solidFill>
                <a:latin typeface="Arial"/>
                <a:cs typeface="Arial"/>
              </a:rPr>
              <a:t>(بالمليون درهم)</a:t>
            </a:r>
          </a:p>
        </c:rich>
      </c:tx>
      <c:overlay val="0"/>
      <c:spPr>
        <a:noFill/>
        <a:ln w="25400">
          <a:noFill/>
        </a:ln>
      </c:spPr>
    </c:title>
    <c:autoTitleDeleted val="0"/>
    <c:plotArea>
      <c:layout/>
      <c:barChart>
        <c:barDir val="col"/>
        <c:grouping val="clustered"/>
        <c:varyColors val="0"/>
        <c:ser>
          <c:idx val="0"/>
          <c:order val="0"/>
          <c:tx>
            <c:strRef>
              <c:f>'14-17'!#REF!</c:f>
              <c:strCache>
                <c:ptCount val="1"/>
                <c:pt idx="0">
                  <c:v>#REF!</c:v>
                </c:pt>
              </c:strCache>
            </c:strRef>
          </c:tx>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0-220F-41E9-AB15-6BE96EEBFE6A}"/>
            </c:ext>
          </c:extLst>
        </c:ser>
        <c:ser>
          <c:idx val="1"/>
          <c:order val="1"/>
          <c:tx>
            <c:strRef>
              <c:f>'الناتج المحلي الجاري'!#REF!</c:f>
              <c:strCache>
                <c:ptCount val="1"/>
                <c:pt idx="0">
                  <c:v>#REF!</c:v>
                </c:pt>
              </c:strCache>
            </c:strRef>
          </c:tx>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1-220F-41E9-AB15-6BE96EEBFE6A}"/>
            </c:ext>
          </c:extLst>
        </c:ser>
        <c:ser>
          <c:idx val="2"/>
          <c:order val="2"/>
          <c:tx>
            <c:strRef>
              <c:f>'1-4'!$C$9</c:f>
              <c:strCache>
                <c:ptCount val="1"/>
                <c:pt idx="0">
                  <c:v>الصناعات التحويلية</c:v>
                </c:pt>
              </c:strCache>
            </c:strRef>
          </c:tx>
          <c:invertIfNegative val="0"/>
          <c:val>
            <c:numRef>
              <c:f>'الناتج المحلي الجاري'!#REF!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المحلي الجاري'!#REF!</c15:sqref>
                        </c15:formulaRef>
                      </c:ext>
                    </c:extLst>
                  </c:multiLvlStrRef>
                </c15:cat>
              </c15:filteredCategoryTitle>
            </c:ext>
            <c:ext xmlns:c16="http://schemas.microsoft.com/office/drawing/2014/chart" uri="{C3380CC4-5D6E-409C-BE32-E72D297353CC}">
              <c16:uniqueId val="{00000002-220F-41E9-AB15-6BE96EEBFE6A}"/>
            </c:ext>
          </c:extLst>
        </c:ser>
        <c:dLbls>
          <c:showLegendKey val="0"/>
          <c:showVal val="0"/>
          <c:showCatName val="0"/>
          <c:showSerName val="0"/>
          <c:showPercent val="0"/>
          <c:showBubbleSize val="0"/>
        </c:dLbls>
        <c:gapWidth val="75"/>
        <c:overlap val="-25"/>
        <c:axId val="-930576928"/>
        <c:axId val="-930595424"/>
      </c:barChart>
      <c:catAx>
        <c:axId val="-930576928"/>
        <c:scaling>
          <c:orientation val="minMax"/>
        </c:scaling>
        <c:delete val="0"/>
        <c:axPos val="b"/>
        <c:numFmt formatCode="General" sourceLinked="1"/>
        <c:majorTickMark val="out"/>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5424"/>
        <c:crosses val="autoZero"/>
        <c:auto val="1"/>
        <c:lblAlgn val="ctr"/>
        <c:lblOffset val="100"/>
        <c:noMultiLvlLbl val="0"/>
      </c:catAx>
      <c:valAx>
        <c:axId val="-930595424"/>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6928"/>
        <c:crosses val="autoZero"/>
        <c:crossBetween val="between"/>
      </c:valAx>
      <c:spPr>
        <a:gradFill flip="none" rotWithShape="1">
          <a:gsLst>
            <a:gs pos="0">
              <a:srgbClr val="5E9EFF"/>
            </a:gs>
            <a:gs pos="39999">
              <a:srgbClr val="85C2FF"/>
            </a:gs>
            <a:gs pos="70000">
              <a:srgbClr val="C4D6EB"/>
            </a:gs>
            <a:gs pos="100000">
              <a:srgbClr val="FFEBFA"/>
            </a:gs>
          </a:gsLst>
          <a:lin ang="5400000" scaled="1"/>
          <a:tileRect/>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16200000" scaled="1"/>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lang="en-US" sz="1800" b="1" i="0" u="none" strike="noStrike" baseline="0">
                <a:solidFill>
                  <a:srgbClr val="000000"/>
                </a:solidFill>
                <a:latin typeface="Arial"/>
                <a:ea typeface="Arial"/>
                <a:cs typeface="Arial"/>
              </a:defRPr>
            </a:pPr>
            <a:r>
              <a:rPr lang="ar-AE"/>
              <a:t>هيكل القطاع غير المالي (جاري) 2008 </a:t>
            </a:r>
          </a:p>
        </c:rich>
      </c:tx>
      <c:overlay val="0"/>
      <c:spPr>
        <a:noFill/>
        <a:ln w="25400">
          <a:noFill/>
        </a:ln>
      </c:spPr>
    </c:title>
    <c:autoTitleDeleted val="0"/>
    <c:plotArea>
      <c:layout/>
      <c:pieChart>
        <c:varyColors val="1"/>
        <c:ser>
          <c:idx val="0"/>
          <c:order val="0"/>
          <c:dLbls>
            <c:spPr>
              <a:noFill/>
              <a:ln w="25400">
                <a:noFill/>
              </a:ln>
            </c:spPr>
            <c:txPr>
              <a:bodyPr wrap="square" lIns="38100" tIns="19050" rIns="38100" bIns="19050" anchor="ctr">
                <a:spAutoFit/>
              </a:bodyPr>
              <a:lstStyle/>
              <a:p>
                <a:pPr>
                  <a:defRPr lang="en-US" sz="1100" b="1" i="0" u="none" strike="noStrike" baseline="0">
                    <a:solidFill>
                      <a:srgbClr val="000000"/>
                    </a:solidFill>
                    <a:latin typeface="Calibri"/>
                    <a:ea typeface="Calibri"/>
                    <a:cs typeface="Calibri"/>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'1-4'!$C$7:$C$20</c:f>
              <c:strCache>
                <c:ptCount val="14"/>
                <c:pt idx="0">
                  <c:v>الزراعة والحراجة وصيد الأسماك</c:v>
                </c:pt>
                <c:pt idx="1">
                  <c:v>الصناعات الاستخراجية (تشمل  النفط الخام والغاز الطبيعي)</c:v>
                </c:pt>
                <c:pt idx="2">
                  <c:v>الصناعات التحويلية</c:v>
                </c:pt>
                <c:pt idx="3">
                  <c:v>الكهرباء والغاز والمياه وأنشطة إدارة النفايات</c:v>
                </c:pt>
                <c:pt idx="4">
                  <c:v>التشييد والبناء</c:v>
                </c:pt>
                <c:pt idx="5">
                  <c:v>تجارة الجملة والتجزئة؛ إصلاح المركبات ذات المحركات والدراجات النارية</c:v>
                </c:pt>
                <c:pt idx="6">
                  <c:v>النقل والتخزين</c:v>
                </c:pt>
                <c:pt idx="7">
                  <c:v>أنشطة الإقامة والخدمات الغذائية</c:v>
                </c:pt>
                <c:pt idx="8">
                  <c:v>المعلومات والاتصالات</c:v>
                </c:pt>
                <c:pt idx="9">
                  <c:v>الأنشطة المالية وأنشطة التأمين</c:v>
                </c:pt>
                <c:pt idx="10">
                  <c:v>الأنشطة العقارية</c:v>
                </c:pt>
                <c:pt idx="11">
                  <c:v>الأنشطة المهنية والعلمية والتقنية وأنشطة الخدمات الإدارية وخدمات الدعم</c:v>
                </c:pt>
                <c:pt idx="12">
                  <c:v>الإدارة العامة والدفاع؛ الضمان الاجتماعي الإجباري</c:v>
                </c:pt>
                <c:pt idx="13">
                  <c:v>التعليم</c:v>
                </c:pt>
              </c:strCache>
            </c:strRef>
          </c:cat>
          <c:val>
            <c:numRef>
              <c:f>'الناتج المحلي الجاري'!#REF!</c:f>
              <c:numCache>
                <c:formatCode>General</c:formatCode>
                <c:ptCount val="1"/>
                <c:pt idx="0">
                  <c:v>1</c:v>
                </c:pt>
              </c:numCache>
            </c:numRef>
          </c:val>
          <c:extLst>
            <c:ext xmlns:c16="http://schemas.microsoft.com/office/drawing/2014/chart" uri="{C3380CC4-5D6E-409C-BE32-E72D297353CC}">
              <c16:uniqueId val="{00000001-205D-412D-806D-CB87C7ADAA93}"/>
            </c:ext>
          </c:extLst>
        </c:ser>
        <c:dLbls>
          <c:showLegendKey val="0"/>
          <c:showVal val="0"/>
          <c:showCatName val="0"/>
          <c:showSerName val="0"/>
          <c:showPercent val="0"/>
          <c:showBubbleSize val="0"/>
          <c:showLeaderLines val="1"/>
        </c:dLbls>
        <c:firstSliceAng val="360"/>
      </c:pieChart>
      <c:spPr>
        <a:noFill/>
        <a:ln w="25400">
          <a:noFill/>
        </a:ln>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zero"/>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 (ثابت) حسب القطاعات </a:t>
            </a:r>
            <a:r>
              <a:rPr lang="ar-AE" sz="1100" b="1" i="0" u="none" strike="noStrike" baseline="0">
                <a:solidFill>
                  <a:srgbClr val="000000"/>
                </a:solidFill>
                <a:latin typeface="Arial"/>
                <a:cs typeface="Arial"/>
              </a:rPr>
              <a:t>(بالمليون درهم)</a:t>
            </a:r>
          </a:p>
        </c:rich>
      </c:tx>
      <c:layout>
        <c:manualLayout>
          <c:xMode val="edge"/>
          <c:yMode val="edge"/>
          <c:x val="0.20236956587323141"/>
          <c:y val="1.881719053411007E-2"/>
        </c:manualLayout>
      </c:layout>
      <c:overlay val="0"/>
      <c:spPr>
        <a:noFill/>
        <a:ln w="25400">
          <a:noFill/>
        </a:ln>
      </c:spPr>
    </c:title>
    <c:autoTitleDeleted val="0"/>
    <c:plotArea>
      <c:layout/>
      <c:barChart>
        <c:barDir val="col"/>
        <c:grouping val="clustered"/>
        <c:varyColors val="0"/>
        <c:ser>
          <c:idx val="3"/>
          <c:order val="0"/>
          <c:spPr>
            <a:solidFill>
              <a:schemeClr val="accent2">
                <a:lumMod val="75000"/>
              </a:schemeClr>
            </a:solidFill>
          </c:spPr>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0-8BCE-42AC-87FA-6CBC234844DA}"/>
            </c:ext>
          </c:extLst>
        </c:ser>
        <c:ser>
          <c:idx val="0"/>
          <c:order val="1"/>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1-8BCE-42AC-87FA-6CBC234844DA}"/>
            </c:ext>
          </c:extLst>
        </c:ser>
        <c:ser>
          <c:idx val="1"/>
          <c:order val="2"/>
          <c:spPr>
            <a:solidFill>
              <a:srgbClr val="7030A0"/>
            </a:solidFill>
          </c:spPr>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2-8BCE-42AC-87FA-6CBC234844DA}"/>
            </c:ext>
          </c:extLst>
        </c:ser>
        <c:ser>
          <c:idx val="2"/>
          <c:order val="3"/>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3-8BCE-42AC-87FA-6CBC234844DA}"/>
            </c:ext>
          </c:extLst>
        </c:ser>
        <c:dLbls>
          <c:showLegendKey val="0"/>
          <c:showVal val="0"/>
          <c:showCatName val="0"/>
          <c:showSerName val="0"/>
          <c:showPercent val="0"/>
          <c:showBubbleSize val="0"/>
        </c:dLbls>
        <c:gapWidth val="75"/>
        <c:overlap val="-25"/>
        <c:axId val="-930575840"/>
        <c:axId val="-930574752"/>
      </c:barChart>
      <c:catAx>
        <c:axId val="-930575840"/>
        <c:scaling>
          <c:orientation val="minMax"/>
        </c:scaling>
        <c:delete val="0"/>
        <c:axPos val="b"/>
        <c:numFmt formatCode="General" sourceLinked="1"/>
        <c:majorTickMark val="out"/>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4752"/>
        <c:crosses val="autoZero"/>
        <c:auto val="1"/>
        <c:lblAlgn val="ctr"/>
        <c:lblOffset val="100"/>
        <c:noMultiLvlLbl val="0"/>
      </c:catAx>
      <c:valAx>
        <c:axId val="-93057475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5840"/>
        <c:crosses val="autoZero"/>
        <c:crossBetween val="between"/>
      </c:valAx>
      <c:spPr>
        <a:gradFill flip="none" rotWithShape="1">
          <a:gsLst>
            <a:gs pos="70000">
              <a:srgbClr val="1F497D">
                <a:lumMod val="60000"/>
                <a:lumOff val="40000"/>
              </a:srgbClr>
            </a:gs>
            <a:gs pos="100000">
              <a:srgbClr val="FFEBFA"/>
            </a:gs>
          </a:gsLst>
          <a:lin ang="5400000" scaled="1"/>
          <a:tileRect/>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70000">
          <a:srgbClr val="1F497D">
            <a:lumMod val="60000"/>
            <a:lumOff val="40000"/>
          </a:srgbClr>
        </a:gs>
        <a:gs pos="100000">
          <a:srgbClr val="FFEBFA"/>
        </a:gs>
      </a:gsLst>
      <a:lin ang="162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الإجمالي النفطي والغير نفطي (ثابت)  </a:t>
            </a:r>
            <a:r>
              <a:rPr lang="ar-AE" sz="1200" b="1" i="0" u="none" strike="noStrike" baseline="0">
                <a:solidFill>
                  <a:srgbClr val="000000"/>
                </a:solidFill>
                <a:latin typeface="Arial"/>
                <a:cs typeface="Arial"/>
              </a:rPr>
              <a:t>(بالمليون درهم)</a:t>
            </a:r>
          </a:p>
        </c:rich>
      </c:tx>
      <c:overlay val="0"/>
      <c:spPr>
        <a:noFill/>
        <a:ln w="25400">
          <a:noFill/>
        </a:ln>
      </c:spPr>
    </c:title>
    <c:autoTitleDeleted val="0"/>
    <c:plotArea>
      <c:layout/>
      <c:barChart>
        <c:barDir val="col"/>
        <c:grouping val="clustered"/>
        <c:varyColors val="0"/>
        <c:ser>
          <c:idx val="0"/>
          <c:order val="0"/>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0-0C88-4FF6-BF7C-915A05CFD987}"/>
            </c:ext>
          </c:extLst>
        </c:ser>
        <c:ser>
          <c:idx val="1"/>
          <c:order val="1"/>
          <c:invertIfNegative val="0"/>
          <c:val>
            <c:numRef>
              <c:f>'الناتج بالأسعار الثابتة'!#REF!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'الناتج بالأسعار الثابتة'!#REF!</c15:sqref>
                        </c15:formulaRef>
                      </c:ext>
                    </c:extLst>
                  </c:multiLvlStrRef>
                </c15:cat>
              </c15:filteredCategoryTitle>
            </c:ext>
            <c:ext xmlns:c16="http://schemas.microsoft.com/office/drawing/2014/chart" uri="{C3380CC4-5D6E-409C-BE32-E72D297353CC}">
              <c16:uniqueId val="{00000001-0C88-4FF6-BF7C-915A05CFD987}"/>
            </c:ext>
          </c:extLst>
        </c:ser>
        <c:dLbls>
          <c:showLegendKey val="0"/>
          <c:showVal val="0"/>
          <c:showCatName val="0"/>
          <c:showSerName val="0"/>
          <c:showPercent val="0"/>
          <c:showBubbleSize val="0"/>
        </c:dLbls>
        <c:gapWidth val="75"/>
        <c:overlap val="-25"/>
        <c:axId val="-930594880"/>
        <c:axId val="-930573120"/>
      </c:barChart>
      <c:catAx>
        <c:axId val="-930594880"/>
        <c:scaling>
          <c:orientation val="minMax"/>
        </c:scaling>
        <c:delete val="0"/>
        <c:axPos val="b"/>
        <c:numFmt formatCode="General" sourceLinked="1"/>
        <c:majorTickMark val="out"/>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3120"/>
        <c:crosses val="autoZero"/>
        <c:auto val="1"/>
        <c:lblAlgn val="ctr"/>
        <c:lblOffset val="100"/>
        <c:noMultiLvlLbl val="0"/>
      </c:catAx>
      <c:valAx>
        <c:axId val="-930573120"/>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4880"/>
        <c:crosses val="autoZero"/>
        <c:crossBetween val="between"/>
      </c:valAx>
      <c:spPr>
        <a:gradFill>
          <a:gsLst>
            <a:gs pos="70000">
              <a:srgbClr val="1F497D">
                <a:lumMod val="60000"/>
                <a:lumOff val="40000"/>
              </a:srgbClr>
            </a:gs>
            <a:gs pos="100000">
              <a:srgbClr val="FFEBFA"/>
            </a:gs>
          </a:gsLst>
          <a:lin ang="5400000" scaled="1"/>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flip="none" rotWithShape="1">
      <a:gsLst>
        <a:gs pos="70000">
          <a:srgbClr val="1F497D">
            <a:lumMod val="60000"/>
            <a:lumOff val="40000"/>
          </a:srgbClr>
        </a:gs>
        <a:gs pos="100000">
          <a:srgbClr val="FFEBFA"/>
        </a:gs>
      </a:gsLst>
      <a:lin ang="16200000" scaled="1"/>
      <a:tileRect/>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sz="1800" b="1" i="0" u="none" strike="noStrike" baseline="0">
                <a:solidFill>
                  <a:srgbClr val="000000"/>
                </a:solidFill>
                <a:latin typeface="Arial"/>
                <a:ea typeface="Arial"/>
                <a:cs typeface="Arial"/>
              </a:defRPr>
            </a:pPr>
            <a:r>
              <a:rPr lang="ar-AE"/>
              <a:t>هيكل القطاع غير المالي (ثابت) 2008 </a:t>
            </a:r>
          </a:p>
        </c:rich>
      </c:tx>
      <c:overlay val="0"/>
      <c:spPr>
        <a:noFill/>
        <a:ln w="25400">
          <a:noFill/>
        </a:ln>
      </c:spPr>
    </c:title>
    <c:autoTitleDeleted val="0"/>
    <c:plotArea>
      <c:layout/>
      <c:pieChart>
        <c:varyColors val="1"/>
        <c:ser>
          <c:idx val="0"/>
          <c:order val="0"/>
          <c:spPr>
            <a:ln w="12700">
              <a:noFill/>
            </a:ln>
          </c:spPr>
          <c:dLbls>
            <c:spPr>
              <a:noFill/>
              <a:ln w="25400">
                <a:noFill/>
              </a:ln>
            </c:spPr>
            <c:txPr>
              <a:bodyPr wrap="square" lIns="38100" tIns="19050" rIns="38100" bIns="19050" anchor="ctr">
                <a:spAutoFit/>
              </a:bodyPr>
              <a:lstStyle/>
              <a:p>
                <a:pPr>
                  <a:defRPr lang="en-US" sz="1000" b="1" i="0" u="none" strike="noStrike" baseline="0">
                    <a:solidFill>
                      <a:srgbClr val="000000"/>
                    </a:solidFill>
                    <a:latin typeface="Calibri"/>
                    <a:ea typeface="Calibri"/>
                    <a:cs typeface="Calibri"/>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val>
            <c:numRef>
              <c: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الثابتة'!#REF!,'الناتج بالأسعار الثابتة'!#REF!)</c15:sqref>
                        </c15:formulaRef>
                      </c:ext>
                    </c:extLst>
                  </c:multiLvlStrRef>
                </c15:cat>
              </c15:filteredCategoryTitle>
            </c:ext>
            <c:ext xmlns:c16="http://schemas.microsoft.com/office/drawing/2014/chart" uri="{C3380CC4-5D6E-409C-BE32-E72D297353CC}">
              <c16:uniqueId val="{00000001-FF3A-4557-9383-B72F4E0AE7BA}"/>
            </c:ext>
          </c:extLst>
        </c:ser>
        <c:dLbls>
          <c:showLegendKey val="0"/>
          <c:showVal val="0"/>
          <c:showCatName val="0"/>
          <c:showSerName val="0"/>
          <c:showPercent val="0"/>
          <c:showBubbleSize val="0"/>
          <c:showLeaderLines val="1"/>
        </c:dLbls>
        <c:firstSliceAng val="360"/>
      </c:pieChart>
      <c:spPr>
        <a:noFill/>
        <a:ln w="25400">
          <a:noFill/>
        </a:ln>
      </c:spPr>
    </c:plotArea>
    <c:legend>
      <c:legendPos val="r"/>
      <c:overlay val="0"/>
      <c:txPr>
        <a:bodyPr/>
        <a:lstStyle/>
        <a:p>
          <a:pPr rtl="0">
            <a:defRPr lang="en-US" sz="845" b="1" i="0" u="none" strike="noStrike" baseline="0">
              <a:solidFill>
                <a:srgbClr val="000000"/>
              </a:solidFill>
              <a:latin typeface="Calibri"/>
              <a:ea typeface="Calibri"/>
              <a:cs typeface="Calibri"/>
            </a:defRPr>
          </a:pPr>
          <a:endParaRPr lang="en-US"/>
        </a:p>
      </c:txPr>
    </c:legend>
    <c:plotVisOnly val="1"/>
    <c:dispBlanksAs val="zero"/>
    <c:showDLblsOverMax val="0"/>
  </c:chart>
  <c:spPr>
    <a:gradFill flip="none" rotWithShape="1">
      <a:gsLst>
        <a:gs pos="70000">
          <a:schemeClr val="tx2">
            <a:lumMod val="60000"/>
            <a:lumOff val="40000"/>
          </a:schemeClr>
        </a:gs>
        <a:gs pos="100000">
          <a:srgbClr val="FFEBFA"/>
        </a:gs>
      </a:gsLst>
      <a:lin ang="10800000" scaled="1"/>
      <a:tileRect/>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0594-4F41-9977-16D4C26B2003}"/>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0594-4F41-9977-16D4C26B2003}"/>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800" b="1" i="0" u="none" strike="noStrike" baseline="0">
                <a:solidFill>
                  <a:srgbClr val="000000"/>
                </a:solidFill>
                <a:latin typeface="Arial"/>
                <a:ea typeface="Arial"/>
                <a:cs typeface="Arial"/>
              </a:defRPr>
            </a:pPr>
            <a:r>
              <a:rPr lang="ar-AE"/>
              <a:t>التكوين الرأسمالي</a:t>
            </a:r>
          </a:p>
        </c:rich>
      </c:tx>
      <c:overlay val="0"/>
      <c:spPr>
        <a:noFill/>
        <a:ln w="25400">
          <a:noFill/>
        </a:ln>
      </c:spPr>
    </c:title>
    <c:autoTitleDeleted val="0"/>
    <c:plotArea>
      <c:layout/>
      <c:lineChart>
        <c:grouping val="standard"/>
        <c:varyColors val="0"/>
        <c:ser>
          <c:idx val="0"/>
          <c:order val="0"/>
          <c:tx>
            <c:strRef>
              <c:f>'9-12'!$B$8</c:f>
              <c:strCache>
                <c:ptCount val="1"/>
                <c:pt idx="0">
                  <c:v>الانفاق الاستهلاكي النهائي للحكومة العامة</c:v>
                </c:pt>
              </c:strCache>
            </c:strRef>
          </c:tx>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7C97-491E-BD45-2772D24C1DF4}"/>
            </c:ext>
          </c:extLst>
        </c:ser>
        <c:ser>
          <c:idx val="1"/>
          <c:order val="1"/>
          <c:tx>
            <c:strRef>
              <c:f>'22-25'!#REF!</c:f>
              <c:strCache>
                <c:ptCount val="1"/>
                <c:pt idx="0">
                  <c:v>#REF!</c:v>
                </c:pt>
              </c:strCache>
            </c:strRef>
          </c:tx>
          <c:val>
            <c:numRef>
              <c:f>'الناتج بالأسعار الثابتة'!#REF!</c:f>
              <c:numCache>
                <c:formatCode>General</c:formatCode>
                <c:ptCount val="1"/>
                <c:pt idx="0">
                  <c:v>1</c:v>
                </c:pt>
              </c:numCache>
            </c:numRef>
          </c:val>
          <c:smooth val="0"/>
          <c:extLst>
            <c:ext xmlns:c16="http://schemas.microsoft.com/office/drawing/2014/chart" uri="{C3380CC4-5D6E-409C-BE32-E72D297353CC}">
              <c16:uniqueId val="{00000001-7C97-491E-BD45-2772D24C1DF4}"/>
            </c:ext>
          </c:extLst>
        </c:ser>
        <c:dLbls>
          <c:showLegendKey val="0"/>
          <c:showVal val="0"/>
          <c:showCatName val="0"/>
          <c:showSerName val="0"/>
          <c:showPercent val="0"/>
          <c:showBubbleSize val="0"/>
        </c:dLbls>
        <c:marker val="1"/>
        <c:smooth val="0"/>
        <c:axId val="-930601408"/>
        <c:axId val="-930584544"/>
      </c:lineChart>
      <c:catAx>
        <c:axId val="-930601408"/>
        <c:scaling>
          <c:orientation val="minMax"/>
        </c:scaling>
        <c:delete val="0"/>
        <c:axPos val="b"/>
        <c:numFmt formatCode="General" sourceLinked="1"/>
        <c:majorTickMark val="none"/>
        <c:minorTickMark val="none"/>
        <c:tickLblPos val="nextTo"/>
        <c:txPr>
          <a:bodyPr rot="0" vert="horz"/>
          <a:lstStyle/>
          <a:p>
            <a:pPr>
              <a:defRPr lang="en-US" sz="1000" b="0" i="0" u="none" strike="noStrike" baseline="0">
                <a:solidFill>
                  <a:srgbClr val="000000"/>
                </a:solidFill>
                <a:latin typeface="Calibri"/>
                <a:ea typeface="Calibri"/>
                <a:cs typeface="Calibri"/>
              </a:defRPr>
            </a:pPr>
            <a:endParaRPr lang="en-US"/>
          </a:p>
        </c:txPr>
        <c:crossAx val="-930584544"/>
        <c:crosses val="autoZero"/>
        <c:auto val="1"/>
        <c:lblAlgn val="ctr"/>
        <c:lblOffset val="100"/>
        <c:noMultiLvlLbl val="0"/>
      </c:catAx>
      <c:valAx>
        <c:axId val="-930584544"/>
        <c:scaling>
          <c:orientation val="minMax"/>
        </c:scaling>
        <c:delete val="0"/>
        <c:axPos val="l"/>
        <c:majorGridlines/>
        <c:numFmt formatCode="General" sourceLinked="1"/>
        <c:majorTickMark val="none"/>
        <c:minorTickMark val="none"/>
        <c:tickLblPos val="nextTo"/>
        <c:txPr>
          <a:bodyPr rot="0" vert="horz"/>
          <a:lstStyle/>
          <a:p>
            <a:pPr>
              <a:defRPr lang="en-US" sz="1000" b="0" i="0" u="none" strike="noStrike" baseline="0">
                <a:solidFill>
                  <a:srgbClr val="000000"/>
                </a:solidFill>
                <a:latin typeface="Calibri"/>
                <a:ea typeface="Calibri"/>
                <a:cs typeface="Calibri"/>
              </a:defRPr>
            </a:pPr>
            <a:endParaRPr lang="en-US"/>
          </a:p>
        </c:txPr>
        <c:crossAx val="-930601408"/>
        <c:crosses val="autoZero"/>
        <c:crossBetween val="between"/>
      </c:valAx>
      <c:spPr>
        <a:gradFill flip="none" rotWithShape="1">
          <a:gsLst>
            <a:gs pos="0">
              <a:srgbClr val="5E9EFF"/>
            </a:gs>
            <a:gs pos="39999">
              <a:srgbClr val="85C2FF"/>
            </a:gs>
            <a:gs pos="70000">
              <a:srgbClr val="C4D6EB"/>
            </a:gs>
            <a:gs pos="100000">
              <a:srgbClr val="FFEBFA"/>
            </a:gs>
          </a:gsLst>
          <a:lin ang="16200000" scaled="1"/>
          <a:tileRect/>
        </a:gradFill>
      </c:spPr>
    </c:plotArea>
    <c:legend>
      <c:legendPos val="r"/>
      <c:overlay val="0"/>
      <c:txPr>
        <a:bodyPr/>
        <a:lstStyle/>
        <a:p>
          <a:pPr>
            <a:defRPr lang="en-US" sz="845" b="0"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1"/>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3BEA-48D6-9A33-F2E096DB38A7}"/>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3BEA-48D6-9A33-F2E096DB38A7}"/>
            </c:ext>
          </c:extLst>
        </c:ser>
        <c:dLbls>
          <c:showLegendKey val="0"/>
          <c:showVal val="0"/>
          <c:showCatName val="0"/>
          <c:showSerName val="0"/>
          <c:showPercent val="0"/>
          <c:showBubbleSize val="0"/>
        </c:dLbls>
        <c:marker val="1"/>
        <c:smooth val="0"/>
        <c:axId val="-930596512"/>
        <c:axId val="-930591072"/>
      </c:lineChart>
      <c:catAx>
        <c:axId val="-930596512"/>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1072"/>
        <c:crosses val="autoZero"/>
        <c:auto val="1"/>
        <c:lblAlgn val="ctr"/>
        <c:lblOffset val="100"/>
        <c:noMultiLvlLbl val="0"/>
      </c:catAx>
      <c:valAx>
        <c:axId val="-9305910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6512"/>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86EA-4B2F-8A17-8B1BE02DEBE2}"/>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86EA-4B2F-8A17-8B1BE02DEBE2}"/>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A1E0-4831-A089-7CB1F451D1F9}"/>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A1E0-4831-A089-7CB1F451D1F9}"/>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2C45-4A76-BF3A-AADF2E86F3CE}"/>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2C45-4A76-BF3A-AADF2E86F3CE}"/>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4681-4EF7-A2CB-3966823AE367}"/>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4681-4EF7-A2CB-3966823AE367}"/>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lang="en-US" sz="1800" b="1" i="0" u="none" strike="noStrike" baseline="0">
                <a:solidFill>
                  <a:srgbClr val="000000"/>
                </a:solidFill>
                <a:latin typeface="Arial"/>
                <a:ea typeface="Arial"/>
                <a:cs typeface="Arial"/>
              </a:defRPr>
            </a:pPr>
            <a:r>
              <a:rPr lang="ar-AE"/>
              <a:t>التكوين الرأسمالي</a:t>
            </a:r>
          </a:p>
        </c:rich>
      </c:tx>
      <c:overlay val="0"/>
      <c:spPr>
        <a:noFill/>
        <a:ln w="25400">
          <a:noFill/>
        </a:ln>
      </c:spPr>
    </c:title>
    <c:autoTitleDeleted val="0"/>
    <c:plotArea>
      <c:layout/>
      <c:lineChart>
        <c:grouping val="standard"/>
        <c:varyColors val="0"/>
        <c:ser>
          <c:idx val="0"/>
          <c:order val="0"/>
          <c:tx>
            <c:strRef>
              <c:f>'13-16'!$B$8</c:f>
              <c:strCache>
                <c:ptCount val="1"/>
                <c:pt idx="0">
                  <c:v>الانفاق الاستهلاكي النهائي للحكومة العامة</c:v>
                </c:pt>
              </c:strCache>
            </c:strRef>
          </c:tx>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38BA-422B-AEA2-149B09D8EBDD}"/>
            </c:ext>
          </c:extLst>
        </c:ser>
        <c:ser>
          <c:idx val="1"/>
          <c:order val="1"/>
          <c:tx>
            <c:strRef>
              <c:f>'22-25'!#REF!</c:f>
              <c:strCache>
                <c:ptCount val="1"/>
                <c:pt idx="0">
                  <c:v>#REF!</c:v>
                </c:pt>
              </c:strCache>
            </c:strRef>
          </c:tx>
          <c:val>
            <c:numRef>
              <c:f>'الناتج بالأسعار الثابتة'!#REF!</c:f>
              <c:numCache>
                <c:formatCode>General</c:formatCode>
                <c:ptCount val="1"/>
                <c:pt idx="0">
                  <c:v>1</c:v>
                </c:pt>
              </c:numCache>
            </c:numRef>
          </c:val>
          <c:smooth val="0"/>
          <c:extLst>
            <c:ext xmlns:c16="http://schemas.microsoft.com/office/drawing/2014/chart" uri="{C3380CC4-5D6E-409C-BE32-E72D297353CC}">
              <c16:uniqueId val="{00000001-38BA-422B-AEA2-149B09D8EBDD}"/>
            </c:ext>
          </c:extLst>
        </c:ser>
        <c:dLbls>
          <c:showLegendKey val="0"/>
          <c:showVal val="0"/>
          <c:showCatName val="0"/>
          <c:showSerName val="0"/>
          <c:showPercent val="0"/>
          <c:showBubbleSize val="0"/>
        </c:dLbls>
        <c:marker val="1"/>
        <c:smooth val="0"/>
        <c:axId val="-930601408"/>
        <c:axId val="-930584544"/>
      </c:lineChart>
      <c:catAx>
        <c:axId val="-930601408"/>
        <c:scaling>
          <c:orientation val="minMax"/>
        </c:scaling>
        <c:delete val="0"/>
        <c:axPos val="b"/>
        <c:numFmt formatCode="General" sourceLinked="1"/>
        <c:majorTickMark val="none"/>
        <c:minorTickMark val="none"/>
        <c:tickLblPos val="nextTo"/>
        <c:txPr>
          <a:bodyPr rot="0" vert="horz"/>
          <a:lstStyle/>
          <a:p>
            <a:pPr>
              <a:defRPr lang="en-US" sz="1000" b="0" i="0" u="none" strike="noStrike" baseline="0">
                <a:solidFill>
                  <a:srgbClr val="000000"/>
                </a:solidFill>
                <a:latin typeface="Calibri"/>
                <a:ea typeface="Calibri"/>
                <a:cs typeface="Calibri"/>
              </a:defRPr>
            </a:pPr>
            <a:endParaRPr lang="en-US"/>
          </a:p>
        </c:txPr>
        <c:crossAx val="-930584544"/>
        <c:crosses val="autoZero"/>
        <c:auto val="1"/>
        <c:lblAlgn val="ctr"/>
        <c:lblOffset val="100"/>
        <c:noMultiLvlLbl val="0"/>
      </c:catAx>
      <c:valAx>
        <c:axId val="-930584544"/>
        <c:scaling>
          <c:orientation val="minMax"/>
        </c:scaling>
        <c:delete val="0"/>
        <c:axPos val="l"/>
        <c:majorGridlines/>
        <c:numFmt formatCode="General" sourceLinked="1"/>
        <c:majorTickMark val="none"/>
        <c:minorTickMark val="none"/>
        <c:tickLblPos val="nextTo"/>
        <c:txPr>
          <a:bodyPr rot="0" vert="horz"/>
          <a:lstStyle/>
          <a:p>
            <a:pPr>
              <a:defRPr lang="en-US" sz="1000" b="0" i="0" u="none" strike="noStrike" baseline="0">
                <a:solidFill>
                  <a:srgbClr val="000000"/>
                </a:solidFill>
                <a:latin typeface="Calibri"/>
                <a:ea typeface="Calibri"/>
                <a:cs typeface="Calibri"/>
              </a:defRPr>
            </a:pPr>
            <a:endParaRPr lang="en-US"/>
          </a:p>
        </c:txPr>
        <c:crossAx val="-930601408"/>
        <c:crosses val="autoZero"/>
        <c:crossBetween val="between"/>
      </c:valAx>
      <c:spPr>
        <a:gradFill flip="none" rotWithShape="1">
          <a:gsLst>
            <a:gs pos="0">
              <a:srgbClr val="5E9EFF"/>
            </a:gs>
            <a:gs pos="39999">
              <a:srgbClr val="85C2FF"/>
            </a:gs>
            <a:gs pos="70000">
              <a:srgbClr val="C4D6EB"/>
            </a:gs>
            <a:gs pos="100000">
              <a:srgbClr val="FFEBFA"/>
            </a:gs>
          </a:gsLst>
          <a:lin ang="16200000" scaled="1"/>
          <a:tileRect/>
        </a:gradFill>
      </c:spPr>
    </c:plotArea>
    <c:legend>
      <c:legendPos val="r"/>
      <c:overlay val="0"/>
      <c:txPr>
        <a:bodyPr/>
        <a:lstStyle/>
        <a:p>
          <a:pPr>
            <a:defRPr lang="en-US" sz="845" b="0"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rgbClr val="5E9EFF"/>
        </a:gs>
        <a:gs pos="39999">
          <a:srgbClr val="85C2FF"/>
        </a:gs>
        <a:gs pos="70000">
          <a:srgbClr val="C4D6EB"/>
        </a:gs>
        <a:gs pos="100000">
          <a:srgbClr val="FFEBFA"/>
        </a:gs>
      </a:gsLst>
      <a:lin ang="5400000" scaled="1"/>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11" l="0.70000000000000007" r="0.70000000000000007" t="0.75000000000000011" header="0.30000000000000004" footer="0.30000000000000004"/>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D4B3-4E55-9CD0-1C94419D7932}"/>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D4B3-4E55-9CD0-1C94419D7932}"/>
            </c:ext>
          </c:extLst>
        </c:ser>
        <c:dLbls>
          <c:showLegendKey val="0"/>
          <c:showVal val="0"/>
          <c:showCatName val="0"/>
          <c:showSerName val="0"/>
          <c:showPercent val="0"/>
          <c:showBubbleSize val="0"/>
        </c:dLbls>
        <c:marker val="1"/>
        <c:smooth val="0"/>
        <c:axId val="-930596512"/>
        <c:axId val="-930591072"/>
      </c:lineChart>
      <c:catAx>
        <c:axId val="-930596512"/>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1072"/>
        <c:crosses val="autoZero"/>
        <c:auto val="1"/>
        <c:lblAlgn val="ctr"/>
        <c:lblOffset val="100"/>
        <c:noMultiLvlLbl val="0"/>
      </c:catAx>
      <c:valAx>
        <c:axId val="-9305910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6512"/>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3C5C-4E32-848B-D177F7AC9BD1}"/>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3C5C-4E32-848B-D177F7AC9BD1}"/>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8046-499E-ADEC-1D9BD96C1FC8}"/>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8046-499E-ADEC-1D9BD96C1FC8}"/>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lang="en-US" sz="1000" b="0" i="0" u="none" strike="noStrike" baseline="0">
                <a:solidFill>
                  <a:srgbClr val="000000"/>
                </a:solidFill>
                <a:latin typeface="Calibri"/>
                <a:ea typeface="Calibri"/>
                <a:cs typeface="Calibri"/>
              </a:defRPr>
            </a:pPr>
            <a:r>
              <a:rPr lang="ar-AE" sz="1800" b="1" i="0" u="none" strike="noStrike" baseline="0">
                <a:solidFill>
                  <a:srgbClr val="000000"/>
                </a:solidFill>
                <a:latin typeface="Arial"/>
                <a:cs typeface="Arial"/>
              </a:rPr>
              <a:t>الناتج المحلي الإجمالي</a:t>
            </a:r>
            <a:r>
              <a:rPr lang="ar-AE" sz="1800" b="1" i="0" u="none" strike="noStrike" baseline="0">
                <a:solidFill>
                  <a:srgbClr val="000000"/>
                </a:solidFill>
                <a:latin typeface="Calibri"/>
                <a:cs typeface="Arial"/>
              </a:rPr>
              <a:t> </a:t>
            </a:r>
            <a:r>
              <a:rPr lang="ar-AE" sz="1800" b="1" i="0" u="none" strike="noStrike" baseline="0">
                <a:solidFill>
                  <a:srgbClr val="000000"/>
                </a:solidFill>
                <a:latin typeface="Arial"/>
                <a:cs typeface="Arial"/>
              </a:rPr>
              <a:t> </a:t>
            </a:r>
            <a:r>
              <a:rPr lang="ar-AE" sz="1200" b="1" i="0" u="none" strike="noStrike" baseline="0">
                <a:solidFill>
                  <a:srgbClr val="000000"/>
                </a:solidFill>
                <a:latin typeface="Arial"/>
                <a:cs typeface="Arial"/>
              </a:rPr>
              <a:t>( مليون درهم)</a:t>
            </a:r>
          </a:p>
        </c:rich>
      </c:tx>
      <c:overlay val="0"/>
      <c:spPr>
        <a:noFill/>
        <a:ln w="25400">
          <a:noFill/>
        </a:ln>
      </c:spPr>
    </c:title>
    <c:autoTitleDeleted val="0"/>
    <c:plotArea>
      <c:layout/>
      <c:lineChart>
        <c:grouping val="standard"/>
        <c:varyColors val="0"/>
        <c:ser>
          <c:idx val="0"/>
          <c:order val="0"/>
          <c:val>
            <c:numRef>
              <c:f>'الناتج موزعا حسب الإنفاق '!#REF!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'18-21'!#REF!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xmlns:c16="http://schemas.microsoft.com/office/drawing/2014/chart">
                      <c:ext uri="{02D57815-91ED-43cb-92C2-25804820EDAC}">
                        <c15:formulaRef>
                          <c15:sqref>'الناتج موزعا حسب الإنفاق '!#REF!</c15:sqref>
                        </c15:formulaRef>
                      </c:ext>
                    </c:extLst>
                  </c:multiLvlStrRef>
                </c15:cat>
              </c15:filteredCategoryTitle>
            </c:ext>
            <c:ext xmlns:c16="http://schemas.microsoft.com/office/drawing/2014/chart" uri="{C3380CC4-5D6E-409C-BE32-E72D297353CC}">
              <c16:uniqueId val="{00000000-D707-4B0E-A3DD-DC70256FA980}"/>
            </c:ext>
          </c:extLst>
        </c:ser>
        <c:ser>
          <c:idx val="1"/>
          <c:order val="1"/>
          <c:val>
            <c:numRef>
              <c:f>'الناتج بالأسعار الثابتة'!#REF!</c:f>
              <c:numCache>
                <c:formatCode>General</c:formatCode>
                <c:ptCount val="1"/>
                <c:pt idx="0">
                  <c:v>1</c:v>
                </c:pt>
              </c:numCache>
            </c:numRef>
          </c:val>
          <c:smooth val="0"/>
          <c:extLst>
            <c:ext xmlns:c15="http://schemas.microsoft.com/office/drawing/2012/chart" uri="{02D57815-91ED-43cb-92C2-25804820EDAC}">
              <c15:filteredSeriesTitle>
                <c15:tx>
                  <c:strRef>
                    <c:extLst xmlns:c16="http://schemas.microsoft.com/office/drawing/2014/chart">
                      <c:ext uri="{02D57815-91ED-43cb-92C2-25804820EDAC}">
                        <c15:formulaRef>
                          <c15:sqref>'الناتج بالأسعار الثابتة'!#REF!</c15:sqref>
                        </c15:formulaRef>
                      </c:ext>
                    </c:extLst>
                    <c:strCache>
                      <c:ptCount val="1"/>
                      <c:pt idx="0">
                        <c:v>#REF!</c:v>
                      </c:pt>
                    </c:strCache>
                  </c:strRef>
                </c15:tx>
              </c15:filteredSeriesTitle>
            </c:ext>
            <c:ext xmlns:c16="http://schemas.microsoft.com/office/drawing/2014/chart" uri="{C3380CC4-5D6E-409C-BE32-E72D297353CC}">
              <c16:uniqueId val="{00000001-D707-4B0E-A3DD-DC70256FA980}"/>
            </c:ext>
          </c:extLst>
        </c:ser>
        <c:dLbls>
          <c:showLegendKey val="0"/>
          <c:showVal val="0"/>
          <c:showCatName val="0"/>
          <c:showSerName val="0"/>
          <c:showPercent val="0"/>
          <c:showBubbleSize val="0"/>
        </c:dLbls>
        <c:marker val="1"/>
        <c:smooth val="0"/>
        <c:axId val="-930597056"/>
        <c:axId val="-930577472"/>
      </c:lineChart>
      <c:catAx>
        <c:axId val="-930597056"/>
        <c:scaling>
          <c:orientation val="minMax"/>
        </c:scaling>
        <c:delete val="0"/>
        <c:axPos val="b"/>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77472"/>
        <c:crosses val="autoZero"/>
        <c:auto val="1"/>
        <c:lblAlgn val="ctr"/>
        <c:lblOffset val="100"/>
        <c:noMultiLvlLbl val="0"/>
      </c:catAx>
      <c:valAx>
        <c:axId val="-930577472"/>
        <c:scaling>
          <c:orientation val="minMax"/>
        </c:scaling>
        <c:delete val="0"/>
        <c:axPos val="l"/>
        <c:majorGridlines/>
        <c:numFmt formatCode="General" sourceLinked="1"/>
        <c:majorTickMark val="none"/>
        <c:minorTickMark val="none"/>
        <c:tickLblPos val="nextTo"/>
        <c:txPr>
          <a:bodyPr rot="0" vert="horz"/>
          <a:lstStyle/>
          <a:p>
            <a:pPr>
              <a:defRPr lang="en-US" sz="1000" b="1" i="0" u="none" strike="noStrike" baseline="0">
                <a:solidFill>
                  <a:srgbClr val="000000"/>
                </a:solidFill>
                <a:latin typeface="Calibri"/>
                <a:ea typeface="Calibri"/>
                <a:cs typeface="Calibri"/>
              </a:defRPr>
            </a:pPr>
            <a:endParaRPr lang="en-US"/>
          </a:p>
        </c:txPr>
        <c:crossAx val="-930597056"/>
        <c:crosses val="autoZero"/>
        <c:crossBetween val="between"/>
      </c:valAx>
      <c:spPr>
        <a:gradFill>
          <a:gsLst>
            <a:gs pos="0">
              <a:srgbClr val="5E9EFF"/>
            </a:gs>
            <a:gs pos="39999">
              <a:srgbClr val="85C2FF"/>
            </a:gs>
            <a:gs pos="70000">
              <a:srgbClr val="C4D6EB"/>
            </a:gs>
            <a:gs pos="100000">
              <a:srgbClr val="FFEBFA"/>
            </a:gs>
          </a:gsLst>
          <a:lin ang="5400000" scaled="0"/>
        </a:gradFill>
      </c:spPr>
    </c:plotArea>
    <c:legend>
      <c:legendPos val="r"/>
      <c:overlay val="0"/>
      <c:txPr>
        <a:bodyPr/>
        <a:lstStyle/>
        <a:p>
          <a:pPr>
            <a:defRPr lang="en-US" sz="845" b="1" i="0" u="none" strike="noStrike" baseline="0">
              <a:solidFill>
                <a:srgbClr val="000000"/>
              </a:solidFill>
              <a:latin typeface="Calibri"/>
              <a:ea typeface="Calibri"/>
              <a:cs typeface="Calibri"/>
            </a:defRPr>
          </a:pPr>
          <a:endParaRPr lang="en-US"/>
        </a:p>
      </c:txPr>
    </c:legend>
    <c:plotVisOnly val="1"/>
    <c:dispBlanksAs val="gap"/>
    <c:showDLblsOverMax val="0"/>
  </c:chart>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011" r="0.75000000000000011" t="1" header="0.31496062992125995" footer="0.3149606299212599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3305278</xdr:colOff>
      <xdr:row>4</xdr:row>
      <xdr:rowOff>47796</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0519648056" y="191046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rtl="1"/>
          <a:endParaRPr lang="en-US" sz="1100"/>
        </a:p>
      </xdr:txBody>
    </xdr:sp>
    <xdr:clientData/>
  </xdr:oneCellAnchor>
  <xdr:twoCellAnchor editAs="oneCell">
    <xdr:from>
      <xdr:col>3</xdr:col>
      <xdr:colOff>2639615</xdr:colOff>
      <xdr:row>0</xdr:row>
      <xdr:rowOff>0</xdr:rowOff>
    </xdr:from>
    <xdr:to>
      <xdr:col>4</xdr:col>
      <xdr:colOff>25557</xdr:colOff>
      <xdr:row>0</xdr:row>
      <xdr:rowOff>606232</xdr:rowOff>
    </xdr:to>
    <xdr:pic>
      <xdr:nvPicPr>
        <xdr:cNvPr id="6" name="Picture 5">
          <a:extLst>
            <a:ext uri="{FF2B5EF4-FFF2-40B4-BE49-F238E27FC236}">
              <a16:creationId xmlns:a16="http://schemas.microsoft.com/office/drawing/2014/main" id="{726DF4AF-CF61-4607-A67B-65C1C2739A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6164365" y="0"/>
          <a:ext cx="1443989" cy="606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476250</xdr:colOff>
      <xdr:row>0</xdr:row>
      <xdr:rowOff>0</xdr:rowOff>
    </xdr:from>
    <xdr:to>
      <xdr:col>7</xdr:col>
      <xdr:colOff>53339</xdr:colOff>
      <xdr:row>0</xdr:row>
      <xdr:rowOff>606232</xdr:rowOff>
    </xdr:to>
    <xdr:pic>
      <xdr:nvPicPr>
        <xdr:cNvPr id="3" name="Picture 2">
          <a:extLst>
            <a:ext uri="{FF2B5EF4-FFF2-40B4-BE49-F238E27FC236}">
              <a16:creationId xmlns:a16="http://schemas.microsoft.com/office/drawing/2014/main" id="{86E00B5B-C3F7-4ED0-B811-6F0C20A7C4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3365861" y="0"/>
          <a:ext cx="1443989" cy="6062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12</xdr:row>
      <xdr:rowOff>274320</xdr:rowOff>
    </xdr:to>
    <xdr:graphicFrame macro="">
      <xdr:nvGraphicFramePr>
        <xdr:cNvPr id="6186300" name="Chart 2">
          <a:extLst>
            <a:ext uri="{FF2B5EF4-FFF2-40B4-BE49-F238E27FC236}">
              <a16:creationId xmlns:a16="http://schemas.microsoft.com/office/drawing/2014/main" id="{00000000-0008-0000-0600-00003C655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13</xdr:row>
      <xdr:rowOff>190500</xdr:rowOff>
    </xdr:from>
    <xdr:to>
      <xdr:col>18</xdr:col>
      <xdr:colOff>0</xdr:colOff>
      <xdr:row>25</xdr:row>
      <xdr:rowOff>0</xdr:rowOff>
    </xdr:to>
    <xdr:graphicFrame macro="">
      <xdr:nvGraphicFramePr>
        <xdr:cNvPr id="6186301" name="Chart 3">
          <a:extLst>
            <a:ext uri="{FF2B5EF4-FFF2-40B4-BE49-F238E27FC236}">
              <a16:creationId xmlns:a16="http://schemas.microsoft.com/office/drawing/2014/main" id="{00000000-0008-0000-0600-00003D655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10</xdr:row>
      <xdr:rowOff>121920</xdr:rowOff>
    </xdr:from>
    <xdr:to>
      <xdr:col>18</xdr:col>
      <xdr:colOff>0</xdr:colOff>
      <xdr:row>25</xdr:row>
      <xdr:rowOff>0</xdr:rowOff>
    </xdr:to>
    <xdr:graphicFrame macro="">
      <xdr:nvGraphicFramePr>
        <xdr:cNvPr id="6186302" name="Chart 11">
          <a:extLst>
            <a:ext uri="{FF2B5EF4-FFF2-40B4-BE49-F238E27FC236}">
              <a16:creationId xmlns:a16="http://schemas.microsoft.com/office/drawing/2014/main" id="{00000000-0008-0000-0600-00003E655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796989</xdr:colOff>
      <xdr:row>0</xdr:row>
      <xdr:rowOff>0</xdr:rowOff>
    </xdr:from>
    <xdr:to>
      <xdr:col>18</xdr:col>
      <xdr:colOff>122154</xdr:colOff>
      <xdr:row>0</xdr:row>
      <xdr:rowOff>606232</xdr:rowOff>
    </xdr:to>
    <xdr:pic>
      <xdr:nvPicPr>
        <xdr:cNvPr id="13" name="Picture 12">
          <a:extLst>
            <a:ext uri="{FF2B5EF4-FFF2-40B4-BE49-F238E27FC236}">
              <a16:creationId xmlns:a16="http://schemas.microsoft.com/office/drawing/2014/main" id="{A54D0088-7A99-457B-A2C8-D8FD99CD4E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180392236" y="0"/>
          <a:ext cx="1443989" cy="6062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2</xdr:row>
      <xdr:rowOff>0</xdr:rowOff>
    </xdr:from>
    <xdr:to>
      <xdr:col>18</xdr:col>
      <xdr:colOff>0</xdr:colOff>
      <xdr:row>13</xdr:row>
      <xdr:rowOff>259080</xdr:rowOff>
    </xdr:to>
    <xdr:graphicFrame macro="">
      <xdr:nvGraphicFramePr>
        <xdr:cNvPr id="6516831" name="Chart 18">
          <a:extLst>
            <a:ext uri="{FF2B5EF4-FFF2-40B4-BE49-F238E27FC236}">
              <a16:creationId xmlns:a16="http://schemas.microsoft.com/office/drawing/2014/main" id="{00000000-0008-0000-0800-00005F706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13</xdr:row>
      <xdr:rowOff>419100</xdr:rowOff>
    </xdr:from>
    <xdr:to>
      <xdr:col>18</xdr:col>
      <xdr:colOff>0</xdr:colOff>
      <xdr:row>27</xdr:row>
      <xdr:rowOff>68580</xdr:rowOff>
    </xdr:to>
    <xdr:graphicFrame macro="">
      <xdr:nvGraphicFramePr>
        <xdr:cNvPr id="6516832" name="Chart 20">
          <a:extLst>
            <a:ext uri="{FF2B5EF4-FFF2-40B4-BE49-F238E27FC236}">
              <a16:creationId xmlns:a16="http://schemas.microsoft.com/office/drawing/2014/main" id="{00000000-0008-0000-0800-000060706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12</xdr:row>
      <xdr:rowOff>0</xdr:rowOff>
    </xdr:from>
    <xdr:to>
      <xdr:col>18</xdr:col>
      <xdr:colOff>0</xdr:colOff>
      <xdr:row>26</xdr:row>
      <xdr:rowOff>0</xdr:rowOff>
    </xdr:to>
    <xdr:graphicFrame macro="">
      <xdr:nvGraphicFramePr>
        <xdr:cNvPr id="6516833" name="Chart 21">
          <a:extLst>
            <a:ext uri="{FF2B5EF4-FFF2-40B4-BE49-F238E27FC236}">
              <a16:creationId xmlns:a16="http://schemas.microsoft.com/office/drawing/2014/main" id="{00000000-0008-0000-0800-000061706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1171575</xdr:colOff>
      <xdr:row>0</xdr:row>
      <xdr:rowOff>0</xdr:rowOff>
    </xdr:from>
    <xdr:to>
      <xdr:col>18</xdr:col>
      <xdr:colOff>130099</xdr:colOff>
      <xdr:row>0</xdr:row>
      <xdr:rowOff>606232</xdr:rowOff>
    </xdr:to>
    <xdr:pic>
      <xdr:nvPicPr>
        <xdr:cNvPr id="9" name="Picture 8">
          <a:extLst>
            <a:ext uri="{FF2B5EF4-FFF2-40B4-BE49-F238E27FC236}">
              <a16:creationId xmlns:a16="http://schemas.microsoft.com/office/drawing/2014/main" id="{0B704109-CCBC-42A7-8EE0-1A4E9BC6594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135270001" y="0"/>
          <a:ext cx="1444549" cy="606232"/>
        </a:xfrm>
        <a:prstGeom prst="rect">
          <a:avLst/>
        </a:prstGeom>
      </xdr:spPr>
    </xdr:pic>
    <xdr:clientData/>
  </xdr:twoCellAnchor>
  <xdr:twoCellAnchor editAs="oneCell">
    <xdr:from>
      <xdr:col>17</xdr:col>
      <xdr:colOff>796989</xdr:colOff>
      <xdr:row>0</xdr:row>
      <xdr:rowOff>0</xdr:rowOff>
    </xdr:from>
    <xdr:to>
      <xdr:col>17</xdr:col>
      <xdr:colOff>2388274</xdr:colOff>
      <xdr:row>0</xdr:row>
      <xdr:rowOff>606232</xdr:rowOff>
    </xdr:to>
    <xdr:pic>
      <xdr:nvPicPr>
        <xdr:cNvPr id="2" name="Picture 1">
          <a:extLst>
            <a:ext uri="{FF2B5EF4-FFF2-40B4-BE49-F238E27FC236}">
              <a16:creationId xmlns:a16="http://schemas.microsoft.com/office/drawing/2014/main" id="{10EE4FDF-D4F1-4390-B03B-C10C84CB33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31100477" y="0"/>
          <a:ext cx="1591285" cy="6062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4</xdr:row>
      <xdr:rowOff>0</xdr:rowOff>
    </xdr:from>
    <xdr:to>
      <xdr:col>16</xdr:col>
      <xdr:colOff>0</xdr:colOff>
      <xdr:row>9</xdr:row>
      <xdr:rowOff>152400</xdr:rowOff>
    </xdr:to>
    <xdr:graphicFrame macro="">
      <xdr:nvGraphicFramePr>
        <xdr:cNvPr id="5745163" name="Chart 3">
          <a:extLst>
            <a:ext uri="{FF2B5EF4-FFF2-40B4-BE49-F238E27FC236}">
              <a16:creationId xmlns:a16="http://schemas.microsoft.com/office/drawing/2014/main" id="{00000000-0008-0000-0700-00000BAA5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9</xdr:row>
      <xdr:rowOff>381000</xdr:rowOff>
    </xdr:from>
    <xdr:to>
      <xdr:col>17</xdr:col>
      <xdr:colOff>0</xdr:colOff>
      <xdr:row>24</xdr:row>
      <xdr:rowOff>198120</xdr:rowOff>
    </xdr:to>
    <xdr:graphicFrame macro="">
      <xdr:nvGraphicFramePr>
        <xdr:cNvPr id="5745164" name="Chart 4">
          <a:extLst>
            <a:ext uri="{FF2B5EF4-FFF2-40B4-BE49-F238E27FC236}">
              <a16:creationId xmlns:a16="http://schemas.microsoft.com/office/drawing/2014/main" id="{00000000-0008-0000-0700-00000CAA5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62</xdr:row>
      <xdr:rowOff>0</xdr:rowOff>
    </xdr:from>
    <xdr:to>
      <xdr:col>16</xdr:col>
      <xdr:colOff>0</xdr:colOff>
      <xdr:row>67</xdr:row>
      <xdr:rowOff>152400</xdr:rowOff>
    </xdr:to>
    <xdr:graphicFrame macro="">
      <xdr:nvGraphicFramePr>
        <xdr:cNvPr id="8" name="Chart 3">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23</xdr:row>
      <xdr:rowOff>0</xdr:rowOff>
    </xdr:from>
    <xdr:to>
      <xdr:col>16</xdr:col>
      <xdr:colOff>0</xdr:colOff>
      <xdr:row>28</xdr:row>
      <xdr:rowOff>152400</xdr:rowOff>
    </xdr:to>
    <xdr:graphicFrame macro="">
      <xdr:nvGraphicFramePr>
        <xdr:cNvPr id="2" name="Chart 3">
          <a:extLst>
            <a:ext uri="{FF2B5EF4-FFF2-40B4-BE49-F238E27FC236}">
              <a16:creationId xmlns:a16="http://schemas.microsoft.com/office/drawing/2014/main" id="{B2970549-4890-43EF-95C5-84D6FD916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42</xdr:row>
      <xdr:rowOff>0</xdr:rowOff>
    </xdr:from>
    <xdr:to>
      <xdr:col>16</xdr:col>
      <xdr:colOff>0</xdr:colOff>
      <xdr:row>47</xdr:row>
      <xdr:rowOff>152400</xdr:rowOff>
    </xdr:to>
    <xdr:graphicFrame macro="">
      <xdr:nvGraphicFramePr>
        <xdr:cNvPr id="3" name="Chart 3">
          <a:extLst>
            <a:ext uri="{FF2B5EF4-FFF2-40B4-BE49-F238E27FC236}">
              <a16:creationId xmlns:a16="http://schemas.microsoft.com/office/drawing/2014/main" id="{B06F37B3-FE06-4B0E-937E-F2FBE088B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62</xdr:row>
      <xdr:rowOff>0</xdr:rowOff>
    </xdr:from>
    <xdr:to>
      <xdr:col>16</xdr:col>
      <xdr:colOff>0</xdr:colOff>
      <xdr:row>67</xdr:row>
      <xdr:rowOff>152400</xdr:rowOff>
    </xdr:to>
    <xdr:graphicFrame macro="">
      <xdr:nvGraphicFramePr>
        <xdr:cNvPr id="4" name="Chart 3">
          <a:extLst>
            <a:ext uri="{FF2B5EF4-FFF2-40B4-BE49-F238E27FC236}">
              <a16:creationId xmlns:a16="http://schemas.microsoft.com/office/drawing/2014/main" id="{E4B85FA5-A0D1-4455-BFB6-D70ECA649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1004835</xdr:colOff>
      <xdr:row>0</xdr:row>
      <xdr:rowOff>0</xdr:rowOff>
    </xdr:from>
    <xdr:to>
      <xdr:col>17</xdr:col>
      <xdr:colOff>126085</xdr:colOff>
      <xdr:row>0</xdr:row>
      <xdr:rowOff>606232</xdr:rowOff>
    </xdr:to>
    <xdr:pic>
      <xdr:nvPicPr>
        <xdr:cNvPr id="14" name="Picture 13">
          <a:extLst>
            <a:ext uri="{FF2B5EF4-FFF2-40B4-BE49-F238E27FC236}">
              <a16:creationId xmlns:a16="http://schemas.microsoft.com/office/drawing/2014/main" id="{42F299BD-408A-4CEB-ABFC-01B10B358E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33311865" y="0"/>
          <a:ext cx="1445350" cy="6062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16</xdr:col>
      <xdr:colOff>0</xdr:colOff>
      <xdr:row>4</xdr:row>
      <xdr:rowOff>0</xdr:rowOff>
    </xdr:from>
    <xdr:to>
      <xdr:col>16</xdr:col>
      <xdr:colOff>0</xdr:colOff>
      <xdr:row>9</xdr:row>
      <xdr:rowOff>152400</xdr:rowOff>
    </xdr:to>
    <xdr:graphicFrame macro="">
      <xdr:nvGraphicFramePr>
        <xdr:cNvPr id="2" name="Chart 3">
          <a:extLst>
            <a:ext uri="{FF2B5EF4-FFF2-40B4-BE49-F238E27FC236}">
              <a16:creationId xmlns:a16="http://schemas.microsoft.com/office/drawing/2014/main" id="{28CDC0B5-8E9E-4E5E-A855-B4ECB6D97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9</xdr:row>
      <xdr:rowOff>381000</xdr:rowOff>
    </xdr:from>
    <xdr:to>
      <xdr:col>17</xdr:col>
      <xdr:colOff>0</xdr:colOff>
      <xdr:row>20</xdr:row>
      <xdr:rowOff>198120</xdr:rowOff>
    </xdr:to>
    <xdr:graphicFrame macro="">
      <xdr:nvGraphicFramePr>
        <xdr:cNvPr id="3" name="Chart 4">
          <a:extLst>
            <a:ext uri="{FF2B5EF4-FFF2-40B4-BE49-F238E27FC236}">
              <a16:creationId xmlns:a16="http://schemas.microsoft.com/office/drawing/2014/main" id="{7DF31DB1-C000-4B76-84F8-8A5F54EA7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50</xdr:row>
      <xdr:rowOff>0</xdr:rowOff>
    </xdr:from>
    <xdr:to>
      <xdr:col>16</xdr:col>
      <xdr:colOff>0</xdr:colOff>
      <xdr:row>55</xdr:row>
      <xdr:rowOff>152400</xdr:rowOff>
    </xdr:to>
    <xdr:graphicFrame macro="">
      <xdr:nvGraphicFramePr>
        <xdr:cNvPr id="4" name="Chart 3">
          <a:extLst>
            <a:ext uri="{FF2B5EF4-FFF2-40B4-BE49-F238E27FC236}">
              <a16:creationId xmlns:a16="http://schemas.microsoft.com/office/drawing/2014/main" id="{139A0933-3E9A-4E97-9585-49773D0DA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19</xdr:row>
      <xdr:rowOff>0</xdr:rowOff>
    </xdr:from>
    <xdr:to>
      <xdr:col>16</xdr:col>
      <xdr:colOff>0</xdr:colOff>
      <xdr:row>24</xdr:row>
      <xdr:rowOff>152400</xdr:rowOff>
    </xdr:to>
    <xdr:graphicFrame macro="">
      <xdr:nvGraphicFramePr>
        <xdr:cNvPr id="9" name="Chart 3">
          <a:extLst>
            <a:ext uri="{FF2B5EF4-FFF2-40B4-BE49-F238E27FC236}">
              <a16:creationId xmlns:a16="http://schemas.microsoft.com/office/drawing/2014/main" id="{EFDE4E53-8D44-4DF8-9D26-1963641D0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34</xdr:row>
      <xdr:rowOff>0</xdr:rowOff>
    </xdr:from>
    <xdr:to>
      <xdr:col>16</xdr:col>
      <xdr:colOff>0</xdr:colOff>
      <xdr:row>39</xdr:row>
      <xdr:rowOff>152400</xdr:rowOff>
    </xdr:to>
    <xdr:graphicFrame macro="">
      <xdr:nvGraphicFramePr>
        <xdr:cNvPr id="10" name="Chart 3">
          <a:extLst>
            <a:ext uri="{FF2B5EF4-FFF2-40B4-BE49-F238E27FC236}">
              <a16:creationId xmlns:a16="http://schemas.microsoft.com/office/drawing/2014/main" id="{85739149-9D16-4008-B8F6-01635A927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50</xdr:row>
      <xdr:rowOff>0</xdr:rowOff>
    </xdr:from>
    <xdr:to>
      <xdr:col>16</xdr:col>
      <xdr:colOff>0</xdr:colOff>
      <xdr:row>55</xdr:row>
      <xdr:rowOff>152400</xdr:rowOff>
    </xdr:to>
    <xdr:graphicFrame macro="">
      <xdr:nvGraphicFramePr>
        <xdr:cNvPr id="11" name="Chart 10">
          <a:extLst>
            <a:ext uri="{FF2B5EF4-FFF2-40B4-BE49-F238E27FC236}">
              <a16:creationId xmlns:a16="http://schemas.microsoft.com/office/drawing/2014/main" id="{40EFFB5B-87C1-4650-9731-EF7BF927F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600075</xdr:colOff>
      <xdr:row>0</xdr:row>
      <xdr:rowOff>0</xdr:rowOff>
    </xdr:from>
    <xdr:to>
      <xdr:col>17</xdr:col>
      <xdr:colOff>142204</xdr:colOff>
      <xdr:row>0</xdr:row>
      <xdr:rowOff>606232</xdr:rowOff>
    </xdr:to>
    <xdr:pic>
      <xdr:nvPicPr>
        <xdr:cNvPr id="12" name="Picture 11">
          <a:extLst>
            <a:ext uri="{FF2B5EF4-FFF2-40B4-BE49-F238E27FC236}">
              <a16:creationId xmlns:a16="http://schemas.microsoft.com/office/drawing/2014/main" id="{A495102D-211F-4ACC-A759-FB0017CC37A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33295746" y="0"/>
          <a:ext cx="1447129" cy="6062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1457325</xdr:colOff>
      <xdr:row>0</xdr:row>
      <xdr:rowOff>0</xdr:rowOff>
    </xdr:from>
    <xdr:to>
      <xdr:col>18</xdr:col>
      <xdr:colOff>163717</xdr:colOff>
      <xdr:row>0</xdr:row>
      <xdr:rowOff>606232</xdr:rowOff>
    </xdr:to>
    <xdr:pic>
      <xdr:nvPicPr>
        <xdr:cNvPr id="14" name="Picture 13">
          <a:extLst>
            <a:ext uri="{FF2B5EF4-FFF2-40B4-BE49-F238E27FC236}">
              <a16:creationId xmlns:a16="http://schemas.microsoft.com/office/drawing/2014/main" id="{B749BAC4-3EC9-4B87-9BE9-0C9BA17291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007533" y="0"/>
          <a:ext cx="1440067" cy="6062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19</xdr:col>
      <xdr:colOff>791966</xdr:colOff>
      <xdr:row>0</xdr:row>
      <xdr:rowOff>0</xdr:rowOff>
    </xdr:from>
    <xdr:to>
      <xdr:col>20</xdr:col>
      <xdr:colOff>87978</xdr:colOff>
      <xdr:row>0</xdr:row>
      <xdr:rowOff>606232</xdr:rowOff>
    </xdr:to>
    <xdr:pic>
      <xdr:nvPicPr>
        <xdr:cNvPr id="6" name="Picture 5">
          <a:extLst>
            <a:ext uri="{FF2B5EF4-FFF2-40B4-BE49-F238E27FC236}">
              <a16:creationId xmlns:a16="http://schemas.microsoft.com/office/drawing/2014/main" id="{1D38ED6F-4D08-45FA-BBE4-B1E7A1F410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59462135" y="0"/>
          <a:ext cx="1443989" cy="6062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17</xdr:col>
      <xdr:colOff>372717</xdr:colOff>
      <xdr:row>0</xdr:row>
      <xdr:rowOff>0</xdr:rowOff>
    </xdr:from>
    <xdr:to>
      <xdr:col>18</xdr:col>
      <xdr:colOff>15928</xdr:colOff>
      <xdr:row>0</xdr:row>
      <xdr:rowOff>606232</xdr:rowOff>
    </xdr:to>
    <xdr:pic>
      <xdr:nvPicPr>
        <xdr:cNvPr id="4" name="Picture 3">
          <a:extLst>
            <a:ext uri="{FF2B5EF4-FFF2-40B4-BE49-F238E27FC236}">
              <a16:creationId xmlns:a16="http://schemas.microsoft.com/office/drawing/2014/main" id="{A0420331-1E90-4FF4-8E50-351F0BED1B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68252877" y="0"/>
          <a:ext cx="1451580" cy="6062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1294991</xdr:colOff>
      <xdr:row>0</xdr:row>
      <xdr:rowOff>0</xdr:rowOff>
    </xdr:from>
    <xdr:to>
      <xdr:col>17</xdr:col>
      <xdr:colOff>106592</xdr:colOff>
      <xdr:row>0</xdr:row>
      <xdr:rowOff>606232</xdr:rowOff>
    </xdr:to>
    <xdr:pic>
      <xdr:nvPicPr>
        <xdr:cNvPr id="12" name="Picture 11">
          <a:extLst>
            <a:ext uri="{FF2B5EF4-FFF2-40B4-BE49-F238E27FC236}">
              <a16:creationId xmlns:a16="http://schemas.microsoft.com/office/drawing/2014/main" id="{C5658BC6-D28B-443C-BF4D-175839B28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4007633" y="0"/>
          <a:ext cx="1459551" cy="6062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16</xdr:col>
      <xdr:colOff>370915</xdr:colOff>
      <xdr:row>0</xdr:row>
      <xdr:rowOff>0</xdr:rowOff>
    </xdr:from>
    <xdr:to>
      <xdr:col>17</xdr:col>
      <xdr:colOff>60704</xdr:colOff>
      <xdr:row>0</xdr:row>
      <xdr:rowOff>606232</xdr:rowOff>
    </xdr:to>
    <xdr:pic>
      <xdr:nvPicPr>
        <xdr:cNvPr id="7" name="Picture 6">
          <a:extLst>
            <a:ext uri="{FF2B5EF4-FFF2-40B4-BE49-F238E27FC236}">
              <a16:creationId xmlns:a16="http://schemas.microsoft.com/office/drawing/2014/main" id="{40328232-34DB-400C-B68F-D63AD015C4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158171" y="0"/>
          <a:ext cx="1442389" cy="60623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16</xdr:col>
      <xdr:colOff>819151</xdr:colOff>
      <xdr:row>0</xdr:row>
      <xdr:rowOff>0</xdr:rowOff>
    </xdr:from>
    <xdr:to>
      <xdr:col>17</xdr:col>
      <xdr:colOff>85997</xdr:colOff>
      <xdr:row>0</xdr:row>
      <xdr:rowOff>606232</xdr:rowOff>
    </xdr:to>
    <xdr:pic>
      <xdr:nvPicPr>
        <xdr:cNvPr id="5" name="Picture 4">
          <a:extLst>
            <a:ext uri="{FF2B5EF4-FFF2-40B4-BE49-F238E27FC236}">
              <a16:creationId xmlns:a16="http://schemas.microsoft.com/office/drawing/2014/main" id="{8A1D26E8-4E29-48D0-856D-0549120ED1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3132878" y="0"/>
          <a:ext cx="1448071" cy="606232"/>
        </a:xfrm>
        <a:prstGeom prst="rect">
          <a:avLst/>
        </a:prstGeom>
      </xdr:spPr>
    </xdr:pic>
    <xdr:clientData/>
  </xdr:twoCellAnchor>
</xdr:wsDr>
</file>

<file path=xl/theme/theme1.xml><?xml version="1.0" encoding="utf-8"?>
<a:theme xmlns:a="http://schemas.openxmlformats.org/drawingml/2006/main" name="Theme1">
  <a:themeElements>
    <a:clrScheme name="FCSA Colour Template">
      <a:dk1>
        <a:sysClr val="windowText" lastClr="000000"/>
      </a:dk1>
      <a:lt1>
        <a:sysClr val="window" lastClr="FFFFFF"/>
      </a:lt1>
      <a:dk2>
        <a:srgbClr val="AD833A"/>
      </a:dk2>
      <a:lt2>
        <a:srgbClr val="DEB65D"/>
      </a:lt2>
      <a:accent1>
        <a:srgbClr val="F3CF80"/>
      </a:accent1>
      <a:accent2>
        <a:srgbClr val="D8AD82"/>
      </a:accent2>
      <a:accent3>
        <a:srgbClr val="9A6D5A"/>
      </a:accent3>
      <a:accent4>
        <a:srgbClr val="4D6770"/>
      </a:accent4>
      <a:accent5>
        <a:srgbClr val="849DA2"/>
      </a:accent5>
      <a:accent6>
        <a:srgbClr val="D4E7EE"/>
      </a:accent6>
      <a:hlink>
        <a:srgbClr val="849DA2"/>
      </a:hlink>
      <a:folHlink>
        <a:srgbClr val="D4E7E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info@fcsc.gov.a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44"/>
  <sheetViews>
    <sheetView showGridLines="0" rightToLeft="1" tabSelected="1" zoomScale="96" zoomScaleNormal="96" zoomScaleSheetLayoutView="93" workbookViewId="0"/>
  </sheetViews>
  <sheetFormatPr defaultColWidth="9.28515625" defaultRowHeight="25.15" customHeight="1"/>
  <cols>
    <col min="1" max="1" width="15.7109375" style="99" customWidth="1"/>
    <col min="2" max="2" width="60.85546875" style="248" customWidth="1"/>
    <col min="3" max="3" width="11.5703125" style="115" customWidth="1"/>
    <col min="4" max="4" width="60.85546875" style="249" customWidth="1"/>
    <col min="5" max="16384" width="9.28515625" style="99"/>
  </cols>
  <sheetData>
    <row r="1" spans="2:23" ht="50.1" customHeight="1">
      <c r="M1" s="508"/>
      <c r="N1" s="508"/>
      <c r="O1" s="508"/>
      <c r="P1" s="508"/>
      <c r="Q1" s="508"/>
      <c r="R1" s="508"/>
      <c r="S1" s="508"/>
      <c r="T1" s="508"/>
      <c r="U1" s="508"/>
      <c r="V1" s="508"/>
    </row>
    <row r="2" spans="2:23" ht="25.15" customHeight="1">
      <c r="B2" s="509" t="s">
        <v>233</v>
      </c>
      <c r="C2" s="509"/>
      <c r="D2" s="509"/>
      <c r="M2" s="510"/>
      <c r="N2" s="510"/>
      <c r="O2" s="510"/>
      <c r="P2" s="510"/>
      <c r="Q2" s="510"/>
      <c r="R2" s="510"/>
      <c r="S2" s="510"/>
      <c r="T2" s="510"/>
      <c r="U2" s="510"/>
      <c r="V2" s="510"/>
    </row>
    <row r="3" spans="2:23" ht="25.15" customHeight="1">
      <c r="B3" s="511" t="s">
        <v>490</v>
      </c>
      <c r="C3" s="511"/>
      <c r="D3" s="511"/>
      <c r="M3" s="507"/>
      <c r="N3" s="507"/>
      <c r="O3" s="507"/>
      <c r="P3" s="507"/>
      <c r="Q3" s="507"/>
      <c r="R3" s="507"/>
      <c r="S3" s="507"/>
      <c r="T3" s="507"/>
      <c r="U3" s="507"/>
      <c r="V3" s="507"/>
      <c r="W3" s="507"/>
    </row>
    <row r="4" spans="2:23" ht="45.2" customHeight="1">
      <c r="B4" s="116" t="s">
        <v>366</v>
      </c>
      <c r="C4" s="311" t="s">
        <v>367</v>
      </c>
      <c r="D4" s="117" t="s">
        <v>368</v>
      </c>
      <c r="M4" s="507"/>
      <c r="N4" s="507"/>
      <c r="O4" s="507"/>
      <c r="P4" s="507"/>
      <c r="Q4" s="507"/>
      <c r="R4" s="507"/>
      <c r="S4" s="507"/>
      <c r="T4" s="507"/>
      <c r="U4" s="507"/>
      <c r="V4" s="507"/>
      <c r="W4" s="507"/>
    </row>
    <row r="5" spans="2:23" ht="25.15" customHeight="1">
      <c r="B5" s="118" t="s">
        <v>492</v>
      </c>
      <c r="C5" s="480">
        <v>1</v>
      </c>
      <c r="D5" s="119" t="s">
        <v>544</v>
      </c>
    </row>
    <row r="6" spans="2:23" ht="45.2" customHeight="1">
      <c r="B6" s="118" t="s">
        <v>493</v>
      </c>
      <c r="C6" s="480">
        <v>2</v>
      </c>
      <c r="D6" s="490" t="s">
        <v>545</v>
      </c>
    </row>
    <row r="7" spans="2:23" ht="25.15" customHeight="1">
      <c r="B7" s="118" t="s">
        <v>494</v>
      </c>
      <c r="C7" s="480">
        <v>3</v>
      </c>
      <c r="D7" s="119" t="s">
        <v>546</v>
      </c>
    </row>
    <row r="8" spans="2:23" ht="25.15" customHeight="1">
      <c r="B8" s="118" t="s">
        <v>492</v>
      </c>
      <c r="C8" s="480">
        <v>4</v>
      </c>
      <c r="D8" s="119" t="s">
        <v>547</v>
      </c>
    </row>
    <row r="9" spans="2:23" ht="25.15" customHeight="1">
      <c r="B9" s="486" t="s">
        <v>495</v>
      </c>
      <c r="C9" s="487">
        <v>5</v>
      </c>
      <c r="D9" s="491" t="s">
        <v>548</v>
      </c>
    </row>
    <row r="10" spans="2:23" ht="45.2" customHeight="1">
      <c r="B10" s="118" t="s">
        <v>496</v>
      </c>
      <c r="C10" s="480">
        <v>6</v>
      </c>
      <c r="D10" s="490" t="s">
        <v>549</v>
      </c>
    </row>
    <row r="11" spans="2:23" ht="45.2" customHeight="1">
      <c r="B11" s="118" t="s">
        <v>497</v>
      </c>
      <c r="C11" s="480">
        <v>7</v>
      </c>
      <c r="D11" s="490" t="s">
        <v>550</v>
      </c>
    </row>
    <row r="12" spans="2:23" ht="25.15" customHeight="1">
      <c r="B12" s="484" t="s">
        <v>495</v>
      </c>
      <c r="C12" s="480">
        <v>8</v>
      </c>
      <c r="D12" s="485" t="s">
        <v>521</v>
      </c>
    </row>
    <row r="13" spans="2:23" ht="45.2" customHeight="1">
      <c r="B13" s="488" t="s">
        <v>498</v>
      </c>
      <c r="C13" s="487">
        <v>9</v>
      </c>
      <c r="D13" s="489" t="s">
        <v>541</v>
      </c>
    </row>
    <row r="14" spans="2:23" ht="45.2" customHeight="1">
      <c r="B14" s="484" t="s">
        <v>499</v>
      </c>
      <c r="C14" s="480">
        <v>10</v>
      </c>
      <c r="D14" s="485" t="s">
        <v>543</v>
      </c>
    </row>
    <row r="15" spans="2:23" ht="45.2" customHeight="1">
      <c r="B15" s="484" t="s">
        <v>500</v>
      </c>
      <c r="C15" s="480">
        <v>11</v>
      </c>
      <c r="D15" s="485" t="s">
        <v>542</v>
      </c>
    </row>
    <row r="16" spans="2:23" ht="45.2" customHeight="1">
      <c r="B16" s="484" t="s">
        <v>501</v>
      </c>
      <c r="C16" s="480">
        <v>12</v>
      </c>
      <c r="D16" s="485" t="s">
        <v>541</v>
      </c>
    </row>
    <row r="17" spans="2:4" ht="45.2" customHeight="1">
      <c r="B17" s="488" t="s">
        <v>502</v>
      </c>
      <c r="C17" s="487">
        <v>13</v>
      </c>
      <c r="D17" s="489" t="s">
        <v>540</v>
      </c>
    </row>
    <row r="18" spans="2:4" ht="45.2" customHeight="1">
      <c r="B18" s="484" t="s">
        <v>503</v>
      </c>
      <c r="C18" s="480">
        <v>14</v>
      </c>
      <c r="D18" s="485" t="s">
        <v>539</v>
      </c>
    </row>
    <row r="19" spans="2:4" ht="45.2" customHeight="1">
      <c r="B19" s="484" t="s">
        <v>520</v>
      </c>
      <c r="C19" s="480">
        <v>15</v>
      </c>
      <c r="D19" s="485" t="s">
        <v>538</v>
      </c>
    </row>
    <row r="20" spans="2:4" ht="45.2" customHeight="1">
      <c r="B20" s="484" t="s">
        <v>502</v>
      </c>
      <c r="C20" s="480">
        <v>16</v>
      </c>
      <c r="D20" s="485" t="s">
        <v>537</v>
      </c>
    </row>
    <row r="21" spans="2:4" ht="25.15" customHeight="1">
      <c r="B21" s="488" t="s">
        <v>519</v>
      </c>
      <c r="C21" s="487">
        <v>17</v>
      </c>
      <c r="D21" s="489" t="s">
        <v>535</v>
      </c>
    </row>
    <row r="22" spans="2:4" ht="25.15" customHeight="1">
      <c r="B22" s="484" t="s">
        <v>518</v>
      </c>
      <c r="C22" s="480">
        <v>18</v>
      </c>
      <c r="D22" s="485" t="s">
        <v>536</v>
      </c>
    </row>
    <row r="23" spans="2:4" ht="25.15" customHeight="1">
      <c r="B23" s="484" t="s">
        <v>515</v>
      </c>
      <c r="C23" s="480">
        <v>19</v>
      </c>
      <c r="D23" s="485" t="s">
        <v>533</v>
      </c>
    </row>
    <row r="24" spans="2:4" ht="25.15" customHeight="1">
      <c r="B24" s="484" t="s">
        <v>514</v>
      </c>
      <c r="C24" s="480">
        <v>20</v>
      </c>
      <c r="D24" s="485" t="s">
        <v>532</v>
      </c>
    </row>
    <row r="25" spans="2:4" ht="25.15" customHeight="1">
      <c r="B25" s="484" t="s">
        <v>517</v>
      </c>
      <c r="C25" s="480">
        <v>21</v>
      </c>
      <c r="D25" s="485" t="s">
        <v>535</v>
      </c>
    </row>
    <row r="26" spans="2:4" ht="25.15" customHeight="1">
      <c r="B26" s="484" t="s">
        <v>516</v>
      </c>
      <c r="C26" s="480">
        <v>22</v>
      </c>
      <c r="D26" s="485" t="s">
        <v>534</v>
      </c>
    </row>
    <row r="27" spans="2:4" ht="25.15" customHeight="1">
      <c r="B27" s="484" t="s">
        <v>515</v>
      </c>
      <c r="C27" s="480">
        <v>23</v>
      </c>
      <c r="D27" s="485" t="s">
        <v>533</v>
      </c>
    </row>
    <row r="28" spans="2:4" ht="25.15" customHeight="1">
      <c r="B28" s="484" t="s">
        <v>514</v>
      </c>
      <c r="C28" s="480">
        <v>24</v>
      </c>
      <c r="D28" s="485" t="s">
        <v>532</v>
      </c>
    </row>
    <row r="29" spans="2:4" ht="25.15" customHeight="1">
      <c r="B29" s="488" t="s">
        <v>513</v>
      </c>
      <c r="C29" s="487">
        <v>25</v>
      </c>
      <c r="D29" s="489" t="s">
        <v>531</v>
      </c>
    </row>
    <row r="30" spans="2:4" ht="25.15" customHeight="1">
      <c r="B30" s="484" t="s">
        <v>512</v>
      </c>
      <c r="C30" s="480">
        <v>26</v>
      </c>
      <c r="D30" s="485" t="s">
        <v>530</v>
      </c>
    </row>
    <row r="31" spans="2:4" ht="25.15" customHeight="1">
      <c r="B31" s="484" t="s">
        <v>504</v>
      </c>
      <c r="C31" s="480">
        <v>27</v>
      </c>
      <c r="D31" s="485" t="s">
        <v>522</v>
      </c>
    </row>
    <row r="32" spans="2:4" ht="25.15" customHeight="1">
      <c r="B32" s="484" t="s">
        <v>505</v>
      </c>
      <c r="C32" s="480">
        <v>28</v>
      </c>
      <c r="D32" s="485" t="s">
        <v>522</v>
      </c>
    </row>
    <row r="33" spans="2:4" ht="25.15" customHeight="1">
      <c r="B33" s="488" t="s">
        <v>510</v>
      </c>
      <c r="C33" s="487">
        <v>29</v>
      </c>
      <c r="D33" s="489" t="s">
        <v>527</v>
      </c>
    </row>
    <row r="34" spans="2:4" ht="25.15" customHeight="1">
      <c r="B34" s="484" t="s">
        <v>506</v>
      </c>
      <c r="C34" s="480">
        <v>30</v>
      </c>
      <c r="D34" s="485" t="s">
        <v>529</v>
      </c>
    </row>
    <row r="35" spans="2:4" ht="25.15" customHeight="1">
      <c r="B35" s="484" t="s">
        <v>511</v>
      </c>
      <c r="C35" s="480">
        <v>31</v>
      </c>
      <c r="D35" s="485" t="s">
        <v>528</v>
      </c>
    </row>
    <row r="36" spans="2:4" ht="25.15" customHeight="1">
      <c r="B36" s="484" t="s">
        <v>510</v>
      </c>
      <c r="C36" s="480">
        <v>32</v>
      </c>
      <c r="D36" s="485" t="s">
        <v>527</v>
      </c>
    </row>
    <row r="37" spans="2:4" ht="25.15" customHeight="1">
      <c r="B37" s="484" t="s">
        <v>506</v>
      </c>
      <c r="C37" s="480">
        <v>33</v>
      </c>
      <c r="D37" s="485" t="s">
        <v>526</v>
      </c>
    </row>
    <row r="38" spans="2:4" ht="25.15" customHeight="1">
      <c r="B38" s="488" t="s">
        <v>509</v>
      </c>
      <c r="C38" s="487">
        <v>34</v>
      </c>
      <c r="D38" s="489" t="s">
        <v>525</v>
      </c>
    </row>
    <row r="39" spans="2:4" ht="25.15" customHeight="1">
      <c r="B39" s="484" t="s">
        <v>508</v>
      </c>
      <c r="C39" s="480">
        <v>35</v>
      </c>
      <c r="D39" s="485" t="s">
        <v>524</v>
      </c>
    </row>
    <row r="40" spans="2:4" ht="25.15" customHeight="1">
      <c r="B40" s="484" t="s">
        <v>507</v>
      </c>
      <c r="C40" s="480">
        <v>36</v>
      </c>
      <c r="D40" s="485" t="s">
        <v>523</v>
      </c>
    </row>
    <row r="41" spans="2:4" ht="25.15" customHeight="1">
      <c r="B41" s="484" t="s">
        <v>509</v>
      </c>
      <c r="C41" s="480">
        <v>37</v>
      </c>
      <c r="D41" s="485" t="s">
        <v>525</v>
      </c>
    </row>
    <row r="42" spans="2:4" ht="25.15" customHeight="1">
      <c r="B42" s="484" t="s">
        <v>508</v>
      </c>
      <c r="C42" s="480">
        <v>38</v>
      </c>
      <c r="D42" s="485" t="s">
        <v>524</v>
      </c>
    </row>
    <row r="43" spans="2:4" ht="25.15" customHeight="1" thickBot="1">
      <c r="B43" s="492" t="s">
        <v>507</v>
      </c>
      <c r="C43" s="493">
        <v>39</v>
      </c>
      <c r="D43" s="494" t="s">
        <v>523</v>
      </c>
    </row>
    <row r="44" spans="2:4" ht="25.15" customHeight="1">
      <c r="D44" s="483"/>
    </row>
  </sheetData>
  <mergeCells count="6">
    <mergeCell ref="M4:W4"/>
    <mergeCell ref="M1:V1"/>
    <mergeCell ref="B2:D2"/>
    <mergeCell ref="M2:V2"/>
    <mergeCell ref="B3:D3"/>
    <mergeCell ref="M3:W3"/>
  </mergeCells>
  <pageMargins left="0.7" right="0.7" top="0.75" bottom="0.75" header="0.3" footer="0.3"/>
  <pageSetup paperSize="9" scale="39" orientation="landscape"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B690-38F1-4E08-87F0-CE3A1F33FAA5}">
  <dimension ref="B1:O57"/>
  <sheetViews>
    <sheetView showGridLines="0" rightToLeft="1" zoomScale="90" zoomScaleNormal="90" zoomScaleSheetLayoutView="95" workbookViewId="0">
      <selection activeCell="E10" sqref="E10"/>
    </sheetView>
  </sheetViews>
  <sheetFormatPr defaultColWidth="9.140625" defaultRowHeight="24.95" customHeight="1"/>
  <cols>
    <col min="1" max="1" width="15.7109375" style="432" customWidth="1"/>
    <col min="2" max="2" width="4.85546875" style="162" customWidth="1"/>
    <col min="3" max="3" width="24.7109375" style="309" customWidth="1"/>
    <col min="4" max="4" width="56.140625" style="182" customWidth="1"/>
    <col min="5" max="5" width="56.140625" style="431" customWidth="1"/>
    <col min="6" max="6" width="21.85546875" style="457" customWidth="1"/>
    <col min="7" max="7" width="6.140625" style="250" customWidth="1"/>
    <col min="8" max="16384" width="9.140625" style="432"/>
  </cols>
  <sheetData>
    <row r="1" spans="2:15" ht="50.1" customHeight="1">
      <c r="H1" s="521"/>
      <c r="I1" s="521"/>
      <c r="J1" s="521"/>
      <c r="K1" s="521"/>
    </row>
    <row r="2" spans="2:15" ht="24.95" customHeight="1">
      <c r="B2" s="288">
        <v>1</v>
      </c>
      <c r="C2" s="463" t="s">
        <v>138</v>
      </c>
      <c r="D2" s="160"/>
      <c r="E2" s="433"/>
      <c r="F2" s="161" t="s">
        <v>137</v>
      </c>
      <c r="G2" s="161">
        <v>1</v>
      </c>
    </row>
    <row r="3" spans="2:15" ht="24.95" customHeight="1">
      <c r="B3" s="310">
        <v>1.1000000000000001</v>
      </c>
      <c r="C3" s="454" t="s">
        <v>459</v>
      </c>
      <c r="D3" s="435" t="s">
        <v>460</v>
      </c>
      <c r="E3" s="436" t="s">
        <v>461</v>
      </c>
      <c r="F3" s="456" t="s">
        <v>462</v>
      </c>
      <c r="G3" s="434">
        <v>1.1000000000000001</v>
      </c>
    </row>
    <row r="4" spans="2:15" s="438" customFormat="1" ht="24.95" customHeight="1">
      <c r="B4" s="310">
        <v>1.2</v>
      </c>
      <c r="C4" s="454" t="s">
        <v>139</v>
      </c>
      <c r="D4" s="435" t="s">
        <v>463</v>
      </c>
      <c r="E4" s="437" t="s">
        <v>464</v>
      </c>
      <c r="F4" s="458" t="s">
        <v>465</v>
      </c>
      <c r="G4" s="434">
        <v>1.2</v>
      </c>
    </row>
    <row r="5" spans="2:15" s="438" customFormat="1" ht="24.95" customHeight="1">
      <c r="B5" s="310">
        <v>1.3</v>
      </c>
      <c r="C5" s="454" t="s">
        <v>140</v>
      </c>
      <c r="D5" s="522">
        <v>97146080000</v>
      </c>
      <c r="E5" s="523"/>
      <c r="F5" s="458" t="s">
        <v>466</v>
      </c>
      <c r="G5" s="434">
        <v>1.3</v>
      </c>
    </row>
    <row r="6" spans="2:15" s="438" customFormat="1" ht="24.95" customHeight="1">
      <c r="B6" s="310">
        <v>1.4</v>
      </c>
      <c r="C6" s="454" t="s">
        <v>141</v>
      </c>
      <c r="D6" s="524" t="s">
        <v>467</v>
      </c>
      <c r="E6" s="525"/>
      <c r="F6" s="458" t="s">
        <v>158</v>
      </c>
      <c r="G6" s="434">
        <v>1.4</v>
      </c>
    </row>
    <row r="7" spans="2:15" s="438" customFormat="1" ht="24.95" customHeight="1">
      <c r="B7" s="310">
        <v>1.5</v>
      </c>
      <c r="C7" s="454" t="s">
        <v>159</v>
      </c>
      <c r="D7" s="526">
        <v>45447</v>
      </c>
      <c r="E7" s="526"/>
      <c r="F7" s="459" t="s">
        <v>160</v>
      </c>
      <c r="G7" s="434">
        <v>1.5</v>
      </c>
    </row>
    <row r="8" spans="2:15" ht="24.95" customHeight="1">
      <c r="B8" s="288">
        <v>2</v>
      </c>
      <c r="C8" s="463" t="s">
        <v>142</v>
      </c>
      <c r="D8" s="160"/>
      <c r="E8" s="515" t="s">
        <v>468</v>
      </c>
      <c r="F8" s="516"/>
      <c r="G8" s="288">
        <v>2</v>
      </c>
    </row>
    <row r="9" spans="2:15" ht="24.95" customHeight="1">
      <c r="B9" s="439">
        <v>2.1</v>
      </c>
      <c r="C9" s="464" t="s">
        <v>469</v>
      </c>
      <c r="D9" s="440" t="s">
        <v>478</v>
      </c>
      <c r="E9" s="441" t="s">
        <v>479</v>
      </c>
      <c r="F9" s="460" t="s">
        <v>470</v>
      </c>
      <c r="G9" s="439">
        <v>2.1</v>
      </c>
    </row>
    <row r="10" spans="2:15" ht="97.5" customHeight="1">
      <c r="B10" s="439">
        <v>2.2000000000000002</v>
      </c>
      <c r="C10" s="464" t="s">
        <v>471</v>
      </c>
      <c r="D10" s="440" t="s">
        <v>480</v>
      </c>
      <c r="E10" s="442" t="s">
        <v>552</v>
      </c>
      <c r="F10" s="460" t="s">
        <v>472</v>
      </c>
      <c r="G10" s="439">
        <v>2.2000000000000002</v>
      </c>
      <c r="O10" s="451"/>
    </row>
    <row r="11" spans="2:15" ht="24.95" customHeight="1">
      <c r="B11" s="310">
        <v>2.2999999999999998</v>
      </c>
      <c r="C11" s="454" t="s">
        <v>144</v>
      </c>
      <c r="D11" s="443" t="s">
        <v>473</v>
      </c>
      <c r="E11" s="441" t="s">
        <v>165</v>
      </c>
      <c r="F11" s="460" t="s">
        <v>143</v>
      </c>
      <c r="G11" s="434">
        <v>2.2999999999999998</v>
      </c>
    </row>
    <row r="12" spans="2:15" ht="24.95" customHeight="1">
      <c r="B12" s="310">
        <v>2.4</v>
      </c>
      <c r="C12" s="454" t="s">
        <v>146</v>
      </c>
      <c r="D12" s="519">
        <v>2023</v>
      </c>
      <c r="E12" s="520"/>
      <c r="F12" s="460" t="s">
        <v>145</v>
      </c>
      <c r="G12" s="434">
        <v>2.4</v>
      </c>
    </row>
    <row r="13" spans="2:15" s="444" customFormat="1" ht="24.95" customHeight="1">
      <c r="B13" s="288">
        <v>3</v>
      </c>
      <c r="C13" s="465" t="s">
        <v>147</v>
      </c>
      <c r="D13" s="160"/>
      <c r="E13" s="515" t="s">
        <v>161</v>
      </c>
      <c r="F13" s="516"/>
      <c r="G13" s="288">
        <v>3</v>
      </c>
    </row>
    <row r="14" spans="2:15" ht="24.95" customHeight="1">
      <c r="B14" s="310">
        <v>3.1</v>
      </c>
      <c r="C14" s="464" t="s">
        <v>148</v>
      </c>
      <c r="D14" s="443" t="s">
        <v>481</v>
      </c>
      <c r="E14" s="441" t="s">
        <v>474</v>
      </c>
      <c r="F14" s="460" t="s">
        <v>475</v>
      </c>
      <c r="G14" s="434">
        <v>3.1</v>
      </c>
    </row>
    <row r="15" spans="2:15" ht="24.95" customHeight="1">
      <c r="B15" s="310">
        <v>3.2</v>
      </c>
      <c r="C15" s="464" t="s">
        <v>149</v>
      </c>
      <c r="D15" s="443" t="s">
        <v>482</v>
      </c>
      <c r="E15" s="441" t="s">
        <v>484</v>
      </c>
      <c r="F15" s="460" t="s">
        <v>162</v>
      </c>
      <c r="G15" s="434">
        <v>3.2</v>
      </c>
    </row>
    <row r="16" spans="2:15" ht="24.95" customHeight="1">
      <c r="B16" s="310">
        <v>3.3</v>
      </c>
      <c r="C16" s="464" t="s">
        <v>150</v>
      </c>
      <c r="D16" s="445" t="s">
        <v>483</v>
      </c>
      <c r="E16" s="441" t="s">
        <v>485</v>
      </c>
      <c r="F16" s="460" t="s">
        <v>163</v>
      </c>
      <c r="G16" s="434">
        <v>3.3</v>
      </c>
    </row>
    <row r="17" spans="2:7" ht="24.95" customHeight="1">
      <c r="B17" s="446">
        <v>4</v>
      </c>
      <c r="C17" s="465" t="s">
        <v>476</v>
      </c>
      <c r="D17" s="447"/>
      <c r="E17" s="512" t="s">
        <v>477</v>
      </c>
      <c r="F17" s="512"/>
      <c r="G17" s="448">
        <v>4</v>
      </c>
    </row>
    <row r="18" spans="2:7" ht="24.95" customHeight="1">
      <c r="B18" s="517" t="s">
        <v>320</v>
      </c>
      <c r="C18" s="517"/>
      <c r="D18" s="517"/>
      <c r="E18" s="518" t="s">
        <v>319</v>
      </c>
      <c r="F18" s="518"/>
      <c r="G18" s="518"/>
    </row>
    <row r="19" spans="2:7" ht="51.95" customHeight="1">
      <c r="B19" s="310">
        <v>4.0999999999999996</v>
      </c>
      <c r="C19" s="455" t="s">
        <v>305</v>
      </c>
      <c r="D19" s="300" t="s">
        <v>333</v>
      </c>
      <c r="E19" s="289" t="s">
        <v>355</v>
      </c>
      <c r="F19" s="461" t="s">
        <v>301</v>
      </c>
      <c r="G19" s="310">
        <v>4.0999999999999996</v>
      </c>
    </row>
    <row r="20" spans="2:7" ht="62.25" customHeight="1">
      <c r="B20" s="466">
        <v>4.2</v>
      </c>
      <c r="C20" s="467" t="s">
        <v>178</v>
      </c>
      <c r="D20" s="468" t="s">
        <v>334</v>
      </c>
      <c r="E20" s="469" t="s">
        <v>356</v>
      </c>
      <c r="F20" s="470" t="s">
        <v>302</v>
      </c>
      <c r="G20" s="466">
        <v>4.2</v>
      </c>
    </row>
    <row r="21" spans="2:7" ht="63.75" customHeight="1">
      <c r="B21" s="310">
        <v>4.3</v>
      </c>
      <c r="C21" s="455" t="s">
        <v>271</v>
      </c>
      <c r="D21" s="286" t="s">
        <v>335</v>
      </c>
      <c r="E21" s="287" t="s">
        <v>273</v>
      </c>
      <c r="F21" s="461" t="s">
        <v>272</v>
      </c>
      <c r="G21" s="310">
        <v>4.3</v>
      </c>
    </row>
    <row r="22" spans="2:7" ht="43.5" customHeight="1">
      <c r="B22" s="466">
        <v>4.4000000000000004</v>
      </c>
      <c r="C22" s="467" t="s">
        <v>261</v>
      </c>
      <c r="D22" s="471" t="s">
        <v>280</v>
      </c>
      <c r="E22" s="472" t="s">
        <v>263</v>
      </c>
      <c r="F22" s="470" t="s">
        <v>265</v>
      </c>
      <c r="G22" s="466">
        <v>4.4000000000000004</v>
      </c>
    </row>
    <row r="23" spans="2:7" ht="43.5" customHeight="1">
      <c r="B23" s="310">
        <v>4.5</v>
      </c>
      <c r="C23" s="455" t="s">
        <v>262</v>
      </c>
      <c r="D23" s="286" t="s">
        <v>281</v>
      </c>
      <c r="E23" s="287" t="s">
        <v>264</v>
      </c>
      <c r="F23" s="461" t="s">
        <v>266</v>
      </c>
      <c r="G23" s="310">
        <v>4.5</v>
      </c>
    </row>
    <row r="24" spans="2:7" ht="43.5" customHeight="1">
      <c r="B24" s="466">
        <v>4.5999999999999996</v>
      </c>
      <c r="C24" s="467" t="s">
        <v>102</v>
      </c>
      <c r="D24" s="471" t="s">
        <v>357</v>
      </c>
      <c r="E24" s="472" t="s">
        <v>336</v>
      </c>
      <c r="F24" s="470" t="s">
        <v>339</v>
      </c>
      <c r="G24" s="466">
        <v>4.5999999999999996</v>
      </c>
    </row>
    <row r="25" spans="2:7" ht="43.5" customHeight="1">
      <c r="B25" s="310">
        <v>4.7</v>
      </c>
      <c r="C25" s="455" t="s">
        <v>179</v>
      </c>
      <c r="D25" s="286" t="s">
        <v>282</v>
      </c>
      <c r="E25" s="287" t="s">
        <v>274</v>
      </c>
      <c r="F25" s="461" t="s">
        <v>340</v>
      </c>
      <c r="G25" s="310">
        <v>4.7</v>
      </c>
    </row>
    <row r="26" spans="2:7" ht="76.5" customHeight="1">
      <c r="B26" s="466">
        <v>4.8</v>
      </c>
      <c r="C26" s="467" t="s">
        <v>180</v>
      </c>
      <c r="D26" s="471" t="s">
        <v>283</v>
      </c>
      <c r="E26" s="472" t="s">
        <v>276</v>
      </c>
      <c r="F26" s="470" t="s">
        <v>338</v>
      </c>
      <c r="G26" s="466">
        <v>4.8</v>
      </c>
    </row>
    <row r="27" spans="2:7" ht="57" customHeight="1">
      <c r="B27" s="310">
        <v>4.9000000000000004</v>
      </c>
      <c r="C27" s="455" t="s">
        <v>341</v>
      </c>
      <c r="D27" s="286" t="s">
        <v>358</v>
      </c>
      <c r="E27" s="287" t="s">
        <v>337</v>
      </c>
      <c r="F27" s="461" t="s">
        <v>315</v>
      </c>
      <c r="G27" s="310">
        <v>4.9000000000000004</v>
      </c>
    </row>
    <row r="28" spans="2:7" ht="43.5" customHeight="1">
      <c r="B28" s="473">
        <v>4.0999999999999996</v>
      </c>
      <c r="C28" s="467" t="s">
        <v>181</v>
      </c>
      <c r="D28" s="471" t="s">
        <v>345</v>
      </c>
      <c r="E28" s="472" t="s">
        <v>344</v>
      </c>
      <c r="F28" s="470" t="s">
        <v>35</v>
      </c>
      <c r="G28" s="473">
        <v>4.0999999999999996</v>
      </c>
    </row>
    <row r="29" spans="2:7" ht="43.5" customHeight="1">
      <c r="B29" s="310">
        <v>4.1100000000000003</v>
      </c>
      <c r="C29" s="455" t="s">
        <v>182</v>
      </c>
      <c r="D29" s="286" t="s">
        <v>343</v>
      </c>
      <c r="E29" s="287" t="s">
        <v>342</v>
      </c>
      <c r="F29" s="461" t="s">
        <v>279</v>
      </c>
      <c r="G29" s="310">
        <v>4.1100000000000003</v>
      </c>
    </row>
    <row r="30" spans="2:7" ht="78" customHeight="1">
      <c r="B30" s="466">
        <v>4.12</v>
      </c>
      <c r="C30" s="467" t="s">
        <v>183</v>
      </c>
      <c r="D30" s="471" t="s">
        <v>347</v>
      </c>
      <c r="E30" s="472" t="s">
        <v>346</v>
      </c>
      <c r="F30" s="470" t="s">
        <v>275</v>
      </c>
      <c r="G30" s="466">
        <v>4.12</v>
      </c>
    </row>
    <row r="31" spans="2:7" ht="43.5" customHeight="1">
      <c r="B31" s="452">
        <v>4.13</v>
      </c>
      <c r="C31" s="455" t="s">
        <v>304</v>
      </c>
      <c r="D31" s="286" t="s">
        <v>359</v>
      </c>
      <c r="E31" s="287" t="s">
        <v>348</v>
      </c>
      <c r="F31" s="461" t="s">
        <v>314</v>
      </c>
      <c r="G31" s="452">
        <v>4.13</v>
      </c>
    </row>
    <row r="32" spans="2:7" ht="43.5" customHeight="1">
      <c r="B32" s="466">
        <v>4.1399999999999997</v>
      </c>
      <c r="C32" s="467" t="s">
        <v>184</v>
      </c>
      <c r="D32" s="471" t="s">
        <v>360</v>
      </c>
      <c r="E32" s="472" t="s">
        <v>361</v>
      </c>
      <c r="F32" s="470" t="s">
        <v>277</v>
      </c>
      <c r="G32" s="466">
        <v>4.1399999999999997</v>
      </c>
    </row>
    <row r="33" spans="2:7" ht="43.5" customHeight="1">
      <c r="B33" s="310">
        <v>4.1500000000000004</v>
      </c>
      <c r="C33" s="455" t="s">
        <v>299</v>
      </c>
      <c r="D33" s="286" t="s">
        <v>362</v>
      </c>
      <c r="E33" s="287" t="s">
        <v>349</v>
      </c>
      <c r="F33" s="461" t="s">
        <v>90</v>
      </c>
      <c r="G33" s="310">
        <v>4.1500000000000004</v>
      </c>
    </row>
    <row r="34" spans="2:7" ht="43.5" customHeight="1">
      <c r="B34" s="466">
        <v>4.16</v>
      </c>
      <c r="C34" s="467" t="s">
        <v>174</v>
      </c>
      <c r="D34" s="471" t="s">
        <v>284</v>
      </c>
      <c r="E34" s="472" t="s">
        <v>268</v>
      </c>
      <c r="F34" s="470" t="s">
        <v>30</v>
      </c>
      <c r="G34" s="466">
        <v>4.16</v>
      </c>
    </row>
    <row r="35" spans="2:7" ht="89.25" customHeight="1">
      <c r="B35" s="310">
        <v>4.17</v>
      </c>
      <c r="C35" s="455" t="s">
        <v>32</v>
      </c>
      <c r="D35" s="286" t="s">
        <v>285</v>
      </c>
      <c r="E35" s="287" t="s">
        <v>269</v>
      </c>
      <c r="F35" s="461" t="s">
        <v>267</v>
      </c>
      <c r="G35" s="310">
        <v>4.17</v>
      </c>
    </row>
    <row r="36" spans="2:7" ht="76.5" customHeight="1">
      <c r="B36" s="473">
        <v>4.18</v>
      </c>
      <c r="C36" s="467" t="s">
        <v>3</v>
      </c>
      <c r="D36" s="471" t="s">
        <v>286</v>
      </c>
      <c r="E36" s="472" t="s">
        <v>270</v>
      </c>
      <c r="F36" s="470" t="s">
        <v>222</v>
      </c>
      <c r="G36" s="473">
        <v>4.18</v>
      </c>
    </row>
    <row r="37" spans="2:7" ht="43.5" customHeight="1">
      <c r="B37" s="310">
        <v>4.1900000000000004</v>
      </c>
      <c r="C37" s="455" t="s">
        <v>234</v>
      </c>
      <c r="D37" s="286" t="s">
        <v>287</v>
      </c>
      <c r="E37" s="287" t="s">
        <v>278</v>
      </c>
      <c r="F37" s="461" t="s">
        <v>224</v>
      </c>
      <c r="G37" s="310">
        <v>4.1900000000000004</v>
      </c>
    </row>
    <row r="38" spans="2:7" ht="24.95" customHeight="1">
      <c r="B38" s="517" t="s">
        <v>321</v>
      </c>
      <c r="C38" s="517"/>
      <c r="D38" s="517"/>
      <c r="E38" s="518" t="s">
        <v>322</v>
      </c>
      <c r="F38" s="518"/>
      <c r="G38" s="518"/>
    </row>
    <row r="39" spans="2:7" ht="59.45" customHeight="1">
      <c r="B39" s="452">
        <v>4.2</v>
      </c>
      <c r="C39" s="455" t="s">
        <v>235</v>
      </c>
      <c r="D39" s="286" t="s">
        <v>252</v>
      </c>
      <c r="E39" s="287" t="s">
        <v>288</v>
      </c>
      <c r="F39" s="461" t="s">
        <v>253</v>
      </c>
      <c r="G39" s="452">
        <v>4.2</v>
      </c>
    </row>
    <row r="40" spans="2:7" ht="59.45" customHeight="1">
      <c r="B40" s="466">
        <v>4.21</v>
      </c>
      <c r="C40" s="467" t="s">
        <v>213</v>
      </c>
      <c r="D40" s="471" t="s">
        <v>251</v>
      </c>
      <c r="E40" s="472" t="s">
        <v>289</v>
      </c>
      <c r="F40" s="470" t="s">
        <v>209</v>
      </c>
      <c r="G40" s="466">
        <v>4.21</v>
      </c>
    </row>
    <row r="41" spans="2:7" ht="59.45" customHeight="1">
      <c r="B41" s="452">
        <v>4.22</v>
      </c>
      <c r="C41" s="455" t="s">
        <v>214</v>
      </c>
      <c r="D41" s="286" t="s">
        <v>363</v>
      </c>
      <c r="E41" s="287" t="s">
        <v>350</v>
      </c>
      <c r="F41" s="461" t="s">
        <v>210</v>
      </c>
      <c r="G41" s="452">
        <v>4.22</v>
      </c>
    </row>
    <row r="42" spans="2:7" ht="59.45" customHeight="1">
      <c r="B42" s="466">
        <v>4.2300000000000004</v>
      </c>
      <c r="C42" s="467" t="s">
        <v>215</v>
      </c>
      <c r="D42" s="471" t="s">
        <v>244</v>
      </c>
      <c r="E42" s="472" t="s">
        <v>290</v>
      </c>
      <c r="F42" s="470" t="s">
        <v>211</v>
      </c>
      <c r="G42" s="466">
        <v>4.2300000000000004</v>
      </c>
    </row>
    <row r="43" spans="2:7" ht="59.45" customHeight="1">
      <c r="B43" s="452">
        <v>4.24</v>
      </c>
      <c r="C43" s="455" t="s">
        <v>254</v>
      </c>
      <c r="D43" s="290" t="s">
        <v>255</v>
      </c>
      <c r="E43" s="287" t="s">
        <v>291</v>
      </c>
      <c r="F43" s="461" t="s">
        <v>212</v>
      </c>
      <c r="G43" s="452">
        <v>4.24</v>
      </c>
    </row>
    <row r="44" spans="2:7" ht="59.45" customHeight="1">
      <c r="B44" s="466">
        <v>4.25</v>
      </c>
      <c r="C44" s="467" t="s">
        <v>231</v>
      </c>
      <c r="D44" s="474" t="s">
        <v>256</v>
      </c>
      <c r="E44" s="472" t="s">
        <v>292</v>
      </c>
      <c r="F44" s="475" t="s">
        <v>230</v>
      </c>
      <c r="G44" s="466">
        <v>4.25</v>
      </c>
    </row>
    <row r="45" spans="2:7" ht="43.5" customHeight="1">
      <c r="B45" s="452">
        <v>4.26</v>
      </c>
      <c r="C45" s="455" t="s">
        <v>216</v>
      </c>
      <c r="D45" s="286" t="s">
        <v>257</v>
      </c>
      <c r="E45" s="287" t="s">
        <v>293</v>
      </c>
      <c r="F45" s="462" t="s">
        <v>223</v>
      </c>
      <c r="G45" s="452">
        <v>4.26</v>
      </c>
    </row>
    <row r="46" spans="2:7" ht="48" customHeight="1">
      <c r="B46" s="466">
        <v>4.2699999999999996</v>
      </c>
      <c r="C46" s="467" t="s">
        <v>218</v>
      </c>
      <c r="D46" s="471" t="s">
        <v>364</v>
      </c>
      <c r="E46" s="472" t="s">
        <v>351</v>
      </c>
      <c r="F46" s="470" t="s">
        <v>245</v>
      </c>
      <c r="G46" s="466">
        <v>4.2699999999999996</v>
      </c>
    </row>
    <row r="47" spans="2:7" ht="61.5" customHeight="1">
      <c r="B47" s="452">
        <v>4.28</v>
      </c>
      <c r="C47" s="455" t="s">
        <v>250</v>
      </c>
      <c r="D47" s="286" t="s">
        <v>365</v>
      </c>
      <c r="E47" s="287" t="s">
        <v>352</v>
      </c>
      <c r="F47" s="462" t="s">
        <v>226</v>
      </c>
      <c r="G47" s="452">
        <v>4.28</v>
      </c>
    </row>
    <row r="48" spans="2:7" ht="61.5" customHeight="1">
      <c r="B48" s="466">
        <v>4.29</v>
      </c>
      <c r="C48" s="467" t="s">
        <v>220</v>
      </c>
      <c r="D48" s="471" t="s">
        <v>258</v>
      </c>
      <c r="E48" s="472" t="s">
        <v>294</v>
      </c>
      <c r="F48" s="475" t="s">
        <v>227</v>
      </c>
      <c r="G48" s="466">
        <v>4.29</v>
      </c>
    </row>
    <row r="49" spans="2:7" ht="61.5" customHeight="1">
      <c r="B49" s="452">
        <v>4.3</v>
      </c>
      <c r="C49" s="455" t="s">
        <v>246</v>
      </c>
      <c r="D49" s="286" t="s">
        <v>247</v>
      </c>
      <c r="E49" s="287" t="s">
        <v>295</v>
      </c>
      <c r="F49" s="461" t="s">
        <v>119</v>
      </c>
      <c r="G49" s="452">
        <v>4.3</v>
      </c>
    </row>
    <row r="50" spans="2:7" ht="61.5" customHeight="1">
      <c r="B50" s="466">
        <v>4.3099999999999996</v>
      </c>
      <c r="C50" s="467" t="s">
        <v>259</v>
      </c>
      <c r="D50" s="471" t="s">
        <v>260</v>
      </c>
      <c r="E50" s="472" t="s">
        <v>296</v>
      </c>
      <c r="F50" s="475" t="s">
        <v>228</v>
      </c>
      <c r="G50" s="466">
        <v>4.3099999999999996</v>
      </c>
    </row>
    <row r="51" spans="2:7" ht="61.5" customHeight="1">
      <c r="B51" s="452">
        <v>4.32</v>
      </c>
      <c r="C51" s="455" t="s">
        <v>248</v>
      </c>
      <c r="D51" s="286" t="s">
        <v>249</v>
      </c>
      <c r="E51" s="287" t="s">
        <v>297</v>
      </c>
      <c r="F51" s="461" t="s">
        <v>323</v>
      </c>
      <c r="G51" s="452">
        <v>4.32</v>
      </c>
    </row>
    <row r="52" spans="2:7" ht="24.95" customHeight="1">
      <c r="B52" s="466">
        <v>4.33</v>
      </c>
      <c r="C52" s="467" t="s">
        <v>236</v>
      </c>
      <c r="D52" s="471" t="s">
        <v>242</v>
      </c>
      <c r="E52" s="472" t="s">
        <v>298</v>
      </c>
      <c r="F52" s="470" t="s">
        <v>243</v>
      </c>
      <c r="G52" s="466">
        <v>4.33</v>
      </c>
    </row>
    <row r="53" spans="2:7" ht="24.95" customHeight="1">
      <c r="B53" s="446">
        <v>5</v>
      </c>
      <c r="C53" s="465" t="s">
        <v>486</v>
      </c>
      <c r="D53" s="477"/>
      <c r="E53" s="512" t="s">
        <v>487</v>
      </c>
      <c r="F53" s="512"/>
      <c r="G53" s="448">
        <v>4</v>
      </c>
    </row>
    <row r="54" spans="2:7" ht="24.95" customHeight="1">
      <c r="B54" s="310">
        <v>5.0999999999999996</v>
      </c>
      <c r="C54" s="514" t="s">
        <v>164</v>
      </c>
      <c r="D54" s="514"/>
      <c r="E54" s="513" t="s">
        <v>241</v>
      </c>
      <c r="F54" s="513"/>
      <c r="G54" s="310">
        <v>5.0999999999999996</v>
      </c>
    </row>
    <row r="55" spans="2:7" ht="24.95" customHeight="1">
      <c r="B55" s="310">
        <v>5.2</v>
      </c>
      <c r="C55" s="514" t="s">
        <v>237</v>
      </c>
      <c r="D55" s="514"/>
      <c r="E55" s="513" t="s">
        <v>238</v>
      </c>
      <c r="F55" s="513"/>
      <c r="G55" s="310">
        <v>5.2</v>
      </c>
    </row>
    <row r="56" spans="2:7" ht="24.95" customHeight="1" thickBot="1">
      <c r="B56" s="310">
        <v>5.3</v>
      </c>
      <c r="C56" s="514" t="s">
        <v>239</v>
      </c>
      <c r="D56" s="514"/>
      <c r="E56" s="513" t="s">
        <v>240</v>
      </c>
      <c r="F56" s="513"/>
      <c r="G56" s="310">
        <v>5.3</v>
      </c>
    </row>
    <row r="57" spans="2:7" ht="24.95" customHeight="1">
      <c r="B57" s="453"/>
      <c r="C57" s="478"/>
      <c r="D57" s="449"/>
      <c r="E57" s="450"/>
      <c r="F57" s="479"/>
      <c r="G57" s="476"/>
    </row>
  </sheetData>
  <mergeCells count="19">
    <mergeCell ref="D12:E12"/>
    <mergeCell ref="H1:K1"/>
    <mergeCell ref="D5:E5"/>
    <mergeCell ref="D6:E6"/>
    <mergeCell ref="D7:E7"/>
    <mergeCell ref="E8:F8"/>
    <mergeCell ref="E13:F13"/>
    <mergeCell ref="E17:F17"/>
    <mergeCell ref="B18:D18"/>
    <mergeCell ref="E18:G18"/>
    <mergeCell ref="B38:D38"/>
    <mergeCell ref="E38:G38"/>
    <mergeCell ref="E53:F53"/>
    <mergeCell ref="E56:F56"/>
    <mergeCell ref="E55:F55"/>
    <mergeCell ref="E54:F54"/>
    <mergeCell ref="C56:D56"/>
    <mergeCell ref="C55:D55"/>
    <mergeCell ref="C54:D54"/>
  </mergeCells>
  <hyperlinks>
    <hyperlink ref="D6" r:id="rId1" xr:uid="{5708AF55-FB3A-4B40-94F5-67555CE4E7DD}"/>
  </hyperlinks>
  <pageMargins left="0.7" right="0.7" top="0.75" bottom="0.75" header="0.3" footer="0.3"/>
  <pageSetup scale="4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B1:AG114"/>
  <sheetViews>
    <sheetView showGridLines="0" rightToLeft="1" zoomScaleNormal="100" zoomScaleSheetLayoutView="90" workbookViewId="0"/>
  </sheetViews>
  <sheetFormatPr defaultColWidth="9.28515625" defaultRowHeight="25.15" customHeight="1"/>
  <cols>
    <col min="1" max="1" width="15.7109375" style="2" customWidth="1"/>
    <col min="2" max="2" width="6.5703125" style="123" customWidth="1"/>
    <col min="3" max="3" width="30.7109375" style="2" customWidth="1"/>
    <col min="4" max="16" width="10.7109375" style="22" customWidth="1"/>
    <col min="17" max="17" width="21" style="22" customWidth="1"/>
    <col min="18" max="18" width="31.7109375" style="22" customWidth="1"/>
    <col min="19" max="19" width="12.28515625" style="2" bestFit="1" customWidth="1"/>
    <col min="20" max="16384" width="9.28515625" style="2"/>
  </cols>
  <sheetData>
    <row r="1" spans="2:18" ht="50.1" customHeight="1"/>
    <row r="2" spans="2:18" ht="25.15" customHeight="1">
      <c r="B2" s="507" t="s">
        <v>370</v>
      </c>
      <c r="C2" s="507"/>
      <c r="D2" s="507"/>
      <c r="E2" s="507"/>
      <c r="F2" s="507"/>
      <c r="G2" s="507"/>
      <c r="H2" s="507"/>
      <c r="I2" s="507"/>
      <c r="J2" s="507"/>
      <c r="K2" s="507"/>
      <c r="L2" s="507"/>
      <c r="M2" s="507"/>
      <c r="N2" s="507"/>
      <c r="O2" s="507"/>
      <c r="P2" s="507"/>
      <c r="Q2" s="507"/>
      <c r="R2" s="507"/>
    </row>
    <row r="3" spans="2:18" ht="25.15" customHeight="1">
      <c r="B3" s="529" t="s">
        <v>371</v>
      </c>
      <c r="C3" s="529"/>
      <c r="D3" s="529"/>
      <c r="E3" s="529"/>
      <c r="F3" s="529"/>
      <c r="G3" s="529"/>
      <c r="H3" s="529"/>
      <c r="I3" s="529"/>
      <c r="J3" s="529"/>
      <c r="K3" s="529"/>
      <c r="L3" s="529"/>
      <c r="M3" s="529"/>
      <c r="N3" s="529"/>
      <c r="O3" s="529"/>
      <c r="P3" s="529"/>
      <c r="Q3" s="529"/>
      <c r="R3" s="529"/>
    </row>
    <row r="4" spans="2:18" ht="25.15" customHeight="1">
      <c r="B4" s="179"/>
      <c r="C4" s="179"/>
      <c r="D4" s="179"/>
      <c r="E4" s="179"/>
      <c r="F4" s="179"/>
      <c r="G4" s="179"/>
      <c r="H4" s="179"/>
      <c r="I4" s="179"/>
      <c r="J4" s="179"/>
      <c r="K4" s="179"/>
      <c r="L4" s="179"/>
      <c r="M4" s="179"/>
      <c r="N4" s="179"/>
      <c r="O4" s="179"/>
      <c r="P4" s="179"/>
      <c r="Q4" s="179"/>
      <c r="R4" s="312" t="s">
        <v>369</v>
      </c>
    </row>
    <row r="5" spans="2:18" ht="25.15" customHeight="1">
      <c r="B5" s="49" t="s">
        <v>67</v>
      </c>
      <c r="C5" s="183" t="s">
        <v>117</v>
      </c>
      <c r="D5" s="49">
        <v>2010</v>
      </c>
      <c r="E5" s="49">
        <v>2011</v>
      </c>
      <c r="F5" s="49">
        <v>2012</v>
      </c>
      <c r="G5" s="49">
        <v>2013</v>
      </c>
      <c r="H5" s="49">
        <v>2014</v>
      </c>
      <c r="I5" s="49">
        <v>2015</v>
      </c>
      <c r="J5" s="49">
        <v>2016</v>
      </c>
      <c r="K5" s="49">
        <v>2017</v>
      </c>
      <c r="L5" s="49">
        <v>2018</v>
      </c>
      <c r="M5" s="49">
        <v>2019</v>
      </c>
      <c r="N5" s="49">
        <v>2020</v>
      </c>
      <c r="O5" s="49">
        <v>2021</v>
      </c>
      <c r="P5" s="49" t="s">
        <v>185</v>
      </c>
      <c r="Q5" s="49" t="s">
        <v>186</v>
      </c>
      <c r="R5" s="49" t="s">
        <v>118</v>
      </c>
    </row>
    <row r="6" spans="2:18" ht="28.5" customHeight="1">
      <c r="B6" s="65"/>
      <c r="C6" s="58" t="s">
        <v>102</v>
      </c>
      <c r="D6" s="57">
        <v>969719.12641353614</v>
      </c>
      <c r="E6" s="57">
        <v>1184995.4323156192</v>
      </c>
      <c r="F6" s="57">
        <v>1258388.5541438919</v>
      </c>
      <c r="G6" s="57">
        <v>1289751.4354834468</v>
      </c>
      <c r="H6" s="57">
        <v>1319377.612896289</v>
      </c>
      <c r="I6" s="57">
        <v>1145059.0038449494</v>
      </c>
      <c r="J6" s="57">
        <v>1129313.7912182019</v>
      </c>
      <c r="K6" s="57">
        <v>1193387.7500070571</v>
      </c>
      <c r="L6" s="57">
        <v>1323315.1872112134</v>
      </c>
      <c r="M6" s="57">
        <v>1285529.4128543139</v>
      </c>
      <c r="N6" s="57">
        <v>1052548.040732316</v>
      </c>
      <c r="O6" s="57">
        <v>1285296.1958963075</v>
      </c>
      <c r="P6" s="57">
        <v>1587392.5446071669</v>
      </c>
      <c r="Q6" s="57">
        <v>1599624.4691142703</v>
      </c>
      <c r="R6" s="23" t="s">
        <v>44</v>
      </c>
    </row>
    <row r="7" spans="2:18" ht="25.15" customHeight="1">
      <c r="B7" s="317" t="s">
        <v>68</v>
      </c>
      <c r="C7" s="184" t="s">
        <v>45</v>
      </c>
      <c r="D7" s="251">
        <v>8103.2496815347813</v>
      </c>
      <c r="E7" s="251">
        <v>8632.3669165720785</v>
      </c>
      <c r="F7" s="251">
        <v>8869.587619804628</v>
      </c>
      <c r="G7" s="251">
        <v>9306.3854814274018</v>
      </c>
      <c r="H7" s="251">
        <v>9561.5253108482175</v>
      </c>
      <c r="I7" s="251">
        <v>9840.7516342166855</v>
      </c>
      <c r="J7" s="251">
        <v>10182.378259534054</v>
      </c>
      <c r="K7" s="251">
        <v>10924.921564652926</v>
      </c>
      <c r="L7" s="251">
        <v>11158.167661832649</v>
      </c>
      <c r="M7" s="251">
        <v>11462.534472513067</v>
      </c>
      <c r="N7" s="251">
        <v>12370.955579160776</v>
      </c>
      <c r="O7" s="251">
        <v>14384.715927043577</v>
      </c>
      <c r="P7" s="251">
        <v>12985.776705522394</v>
      </c>
      <c r="Q7" s="252">
        <v>13239.793797630831</v>
      </c>
      <c r="R7" s="37" t="s">
        <v>123</v>
      </c>
    </row>
    <row r="8" spans="2:18" ht="25.15" customHeight="1">
      <c r="B8" s="317" t="s">
        <v>69</v>
      </c>
      <c r="C8" s="184" t="s">
        <v>46</v>
      </c>
      <c r="D8" s="251">
        <v>327492.57588770916</v>
      </c>
      <c r="E8" s="251">
        <v>496093.41382567864</v>
      </c>
      <c r="F8" s="251">
        <v>531464.6651100805</v>
      </c>
      <c r="G8" s="251">
        <v>522779.52102903376</v>
      </c>
      <c r="H8" s="251">
        <v>499781.81818302837</v>
      </c>
      <c r="I8" s="251">
        <v>283870.53958283493</v>
      </c>
      <c r="J8" s="251">
        <v>250852.40512965847</v>
      </c>
      <c r="K8" s="251">
        <v>288929.66193482582</v>
      </c>
      <c r="L8" s="251">
        <v>401830.20749389677</v>
      </c>
      <c r="M8" s="251">
        <v>345830.14950293029</v>
      </c>
      <c r="N8" s="251">
        <v>222429.93628266224</v>
      </c>
      <c r="O8" s="251">
        <v>367042.55226780288</v>
      </c>
      <c r="P8" s="251">
        <v>547526.50735164329</v>
      </c>
      <c r="Q8" s="252">
        <v>461227.46985975612</v>
      </c>
      <c r="R8" s="37" t="s">
        <v>124</v>
      </c>
    </row>
    <row r="9" spans="2:18" ht="25.15" customHeight="1">
      <c r="B9" s="317" t="s">
        <v>70</v>
      </c>
      <c r="C9" s="184" t="s">
        <v>13</v>
      </c>
      <c r="D9" s="251">
        <v>93436.803731630353</v>
      </c>
      <c r="E9" s="251">
        <v>107977.77790149786</v>
      </c>
      <c r="F9" s="251">
        <v>114199.5772344219</v>
      </c>
      <c r="G9" s="251">
        <v>116492.79140194775</v>
      </c>
      <c r="H9" s="251">
        <v>123417.55833768862</v>
      </c>
      <c r="I9" s="251">
        <v>124777.1618628696</v>
      </c>
      <c r="J9" s="251">
        <v>126488.78197431457</v>
      </c>
      <c r="K9" s="251">
        <v>134545.22730240787</v>
      </c>
      <c r="L9" s="251">
        <v>139986.64594198536</v>
      </c>
      <c r="M9" s="251">
        <v>136119.83377572778</v>
      </c>
      <c r="N9" s="251">
        <v>132088.78555194556</v>
      </c>
      <c r="O9" s="251">
        <v>152501.11754523899</v>
      </c>
      <c r="P9" s="251">
        <v>181318.80169847241</v>
      </c>
      <c r="Q9" s="252">
        <v>204784.14110427501</v>
      </c>
      <c r="R9" s="37" t="s">
        <v>47</v>
      </c>
    </row>
    <row r="10" spans="2:18" ht="25.15" customHeight="1">
      <c r="B10" s="317" t="s">
        <v>71</v>
      </c>
      <c r="C10" s="184" t="s">
        <v>48</v>
      </c>
      <c r="D10" s="251">
        <v>26490.855734894947</v>
      </c>
      <c r="E10" s="251">
        <v>31110.62053150055</v>
      </c>
      <c r="F10" s="251">
        <v>35177.517638565783</v>
      </c>
      <c r="G10" s="251">
        <v>36237.634640069671</v>
      </c>
      <c r="H10" s="251">
        <v>39384.743969602103</v>
      </c>
      <c r="I10" s="251">
        <v>47200.851143787244</v>
      </c>
      <c r="J10" s="251">
        <v>49071.481169152925</v>
      </c>
      <c r="K10" s="251">
        <v>55535.686900493944</v>
      </c>
      <c r="L10" s="251">
        <v>58435.26973328754</v>
      </c>
      <c r="M10" s="251">
        <v>61822.974560803814</v>
      </c>
      <c r="N10" s="251">
        <v>61177.452088907019</v>
      </c>
      <c r="O10" s="251">
        <v>70436.612359887338</v>
      </c>
      <c r="P10" s="251">
        <v>76615.53348166919</v>
      </c>
      <c r="Q10" s="252">
        <v>83280.046880937502</v>
      </c>
      <c r="R10" s="37" t="s">
        <v>125</v>
      </c>
    </row>
    <row r="11" spans="2:18" ht="25.15" customHeight="1">
      <c r="B11" s="317" t="s">
        <v>72</v>
      </c>
      <c r="C11" s="184" t="s">
        <v>14</v>
      </c>
      <c r="D11" s="251">
        <v>122305.99348493596</v>
      </c>
      <c r="E11" s="251">
        <v>121180.35322322737</v>
      </c>
      <c r="F11" s="251">
        <v>118171.186244417</v>
      </c>
      <c r="G11" s="251">
        <v>121179.10794648094</v>
      </c>
      <c r="H11" s="251">
        <v>128076.46367003999</v>
      </c>
      <c r="I11" s="251">
        <v>133698.36449100685</v>
      </c>
      <c r="J11" s="251">
        <v>129971.76626579952</v>
      </c>
      <c r="K11" s="251">
        <v>130915.00005776621</v>
      </c>
      <c r="L11" s="251">
        <v>135596.2056716985</v>
      </c>
      <c r="M11" s="251">
        <v>139708.30748023166</v>
      </c>
      <c r="N11" s="251">
        <v>125582.21638659813</v>
      </c>
      <c r="O11" s="251">
        <v>128773.78732223414</v>
      </c>
      <c r="P11" s="251">
        <v>137681.99218206285</v>
      </c>
      <c r="Q11" s="252">
        <v>151799.42859912629</v>
      </c>
      <c r="R11" s="37" t="s">
        <v>49</v>
      </c>
    </row>
    <row r="12" spans="2:18" ht="25.15" customHeight="1">
      <c r="B12" s="317" t="s">
        <v>73</v>
      </c>
      <c r="C12" s="184" t="s">
        <v>50</v>
      </c>
      <c r="D12" s="251">
        <v>148090.23986306693</v>
      </c>
      <c r="E12" s="251">
        <v>151349.73779240367</v>
      </c>
      <c r="F12" s="251">
        <v>158537.15121182177</v>
      </c>
      <c r="G12" s="251">
        <v>172743.04544016611</v>
      </c>
      <c r="H12" s="251">
        <v>178135.19370789055</v>
      </c>
      <c r="I12" s="251">
        <v>185047.56268140755</v>
      </c>
      <c r="J12" s="251">
        <v>194979.28820893459</v>
      </c>
      <c r="K12" s="251">
        <v>197001.36112084024</v>
      </c>
      <c r="L12" s="251">
        <v>199426.07011584553</v>
      </c>
      <c r="M12" s="251">
        <v>205737.04562193138</v>
      </c>
      <c r="N12" s="251">
        <v>175530.34168548707</v>
      </c>
      <c r="O12" s="251">
        <v>194524.01548976381</v>
      </c>
      <c r="P12" s="251">
        <v>212230.55361801898</v>
      </c>
      <c r="Q12" s="252">
        <v>226569.56978909799</v>
      </c>
      <c r="R12" s="37" t="s">
        <v>126</v>
      </c>
    </row>
    <row r="13" spans="2:18" ht="25.15" customHeight="1">
      <c r="B13" s="317" t="s">
        <v>74</v>
      </c>
      <c r="C13" s="184" t="s">
        <v>51</v>
      </c>
      <c r="D13" s="251">
        <v>62857.605822756741</v>
      </c>
      <c r="E13" s="251">
        <v>73392.972670613555</v>
      </c>
      <c r="F13" s="251">
        <v>77120.169181028075</v>
      </c>
      <c r="G13" s="251">
        <v>80857.787180412182</v>
      </c>
      <c r="H13" s="251">
        <v>87279.793907058774</v>
      </c>
      <c r="I13" s="251">
        <v>92621.855591615924</v>
      </c>
      <c r="J13" s="251">
        <v>81795.598236581151</v>
      </c>
      <c r="K13" s="251">
        <v>83654.000164283032</v>
      </c>
      <c r="L13" s="251">
        <v>85689.704133899708</v>
      </c>
      <c r="M13" s="251">
        <v>88600.325889394997</v>
      </c>
      <c r="N13" s="251">
        <v>65850.156455504621</v>
      </c>
      <c r="O13" s="251">
        <v>71968.811593371589</v>
      </c>
      <c r="P13" s="251">
        <v>97961.961643371018</v>
      </c>
      <c r="Q13" s="252">
        <v>116692.58908393403</v>
      </c>
      <c r="R13" s="37" t="s">
        <v>127</v>
      </c>
    </row>
    <row r="14" spans="2:18" ht="25.15" customHeight="1">
      <c r="B14" s="317" t="s">
        <v>75</v>
      </c>
      <c r="C14" s="184" t="s">
        <v>52</v>
      </c>
      <c r="D14" s="251">
        <v>18965.891864357454</v>
      </c>
      <c r="E14" s="251">
        <v>22053.42080201568</v>
      </c>
      <c r="F14" s="251">
        <v>24344.040583302201</v>
      </c>
      <c r="G14" s="251">
        <v>28473.043073568275</v>
      </c>
      <c r="H14" s="251">
        <v>31813.797016562647</v>
      </c>
      <c r="I14" s="251">
        <v>32194.772434056133</v>
      </c>
      <c r="J14" s="251">
        <v>31380.234103539064</v>
      </c>
      <c r="K14" s="251">
        <v>31927.59727400888</v>
      </c>
      <c r="L14" s="251">
        <v>32176.029522124398</v>
      </c>
      <c r="M14" s="251">
        <v>32278.90911727093</v>
      </c>
      <c r="N14" s="251">
        <v>19327.158224985302</v>
      </c>
      <c r="O14" s="251">
        <v>30816.044648557261</v>
      </c>
      <c r="P14" s="251">
        <v>38760.957856668305</v>
      </c>
      <c r="Q14" s="252">
        <v>42624.854488861965</v>
      </c>
      <c r="R14" s="37" t="s">
        <v>128</v>
      </c>
    </row>
    <row r="15" spans="2:18" ht="25.15" customHeight="1">
      <c r="B15" s="317" t="s">
        <v>76</v>
      </c>
      <c r="C15" s="184" t="s">
        <v>53</v>
      </c>
      <c r="D15" s="251">
        <v>32597.540031943696</v>
      </c>
      <c r="E15" s="251">
        <v>33553.070631574366</v>
      </c>
      <c r="F15" s="251">
        <v>34113.17905486832</v>
      </c>
      <c r="G15" s="251">
        <v>34775.774735221319</v>
      </c>
      <c r="H15" s="251">
        <v>37846.103710903102</v>
      </c>
      <c r="I15" s="251">
        <v>39486.579452830061</v>
      </c>
      <c r="J15" s="251">
        <v>41690.925637150816</v>
      </c>
      <c r="K15" s="251">
        <v>43945.141730120282</v>
      </c>
      <c r="L15" s="251">
        <v>44734.588874946276</v>
      </c>
      <c r="M15" s="251">
        <v>46733.231060610728</v>
      </c>
      <c r="N15" s="251">
        <v>45810.055267571326</v>
      </c>
      <c r="O15" s="251">
        <v>47121.177745570429</v>
      </c>
      <c r="P15" s="251">
        <v>50415.200238235426</v>
      </c>
      <c r="Q15" s="252">
        <v>53354.072589416653</v>
      </c>
      <c r="R15" s="37" t="s">
        <v>129</v>
      </c>
    </row>
    <row r="16" spans="2:18" ht="25.15" customHeight="1">
      <c r="B16" s="317" t="s">
        <v>77</v>
      </c>
      <c r="C16" s="185" t="s">
        <v>54</v>
      </c>
      <c r="D16" s="225">
        <v>70087.248607603004</v>
      </c>
      <c r="E16" s="225">
        <v>74030.421067423813</v>
      </c>
      <c r="F16" s="225">
        <v>79836.405479569221</v>
      </c>
      <c r="G16" s="225">
        <v>95587.093616046972</v>
      </c>
      <c r="H16" s="225">
        <v>109901.33976092527</v>
      </c>
      <c r="I16" s="225">
        <v>119022.30442429226</v>
      </c>
      <c r="J16" s="225">
        <v>124986.51016612712</v>
      </c>
      <c r="K16" s="225">
        <v>127048.20508881986</v>
      </c>
      <c r="L16" s="225">
        <v>124932.3406548873</v>
      </c>
      <c r="M16" s="225">
        <v>128912.84304432553</v>
      </c>
      <c r="N16" s="225">
        <v>108130.46220391136</v>
      </c>
      <c r="O16" s="225">
        <v>114295.62642988465</v>
      </c>
      <c r="P16" s="225">
        <v>130271.86242938357</v>
      </c>
      <c r="Q16" s="252">
        <v>152765.81003689382</v>
      </c>
      <c r="R16" s="186" t="s">
        <v>55</v>
      </c>
    </row>
    <row r="17" spans="2:19" ht="25.15" customHeight="1">
      <c r="B17" s="317" t="s">
        <v>78</v>
      </c>
      <c r="C17" s="184" t="s">
        <v>56</v>
      </c>
      <c r="D17" s="251">
        <v>51772.629225540411</v>
      </c>
      <c r="E17" s="251">
        <v>55792.986088043996</v>
      </c>
      <c r="F17" s="251">
        <v>64189.8712944422</v>
      </c>
      <c r="G17" s="251">
        <v>65600.638080169854</v>
      </c>
      <c r="H17" s="251">
        <v>74148.618945993716</v>
      </c>
      <c r="I17" s="251">
        <v>81096.344740812026</v>
      </c>
      <c r="J17" s="251">
        <v>89282.172392472261</v>
      </c>
      <c r="K17" s="251">
        <v>90355.576297383319</v>
      </c>
      <c r="L17" s="251">
        <v>82822.658435004443</v>
      </c>
      <c r="M17" s="251">
        <v>80640.170964245161</v>
      </c>
      <c r="N17" s="251">
        <v>66775.111560962192</v>
      </c>
      <c r="O17" s="251">
        <v>71492.173572190324</v>
      </c>
      <c r="P17" s="251">
        <v>81021.607235630567</v>
      </c>
      <c r="Q17" s="252">
        <v>89421.506166839506</v>
      </c>
      <c r="R17" s="37" t="s">
        <v>130</v>
      </c>
    </row>
    <row r="18" spans="2:19" ht="36" customHeight="1">
      <c r="B18" s="317" t="s">
        <v>187</v>
      </c>
      <c r="C18" s="187" t="s">
        <v>188</v>
      </c>
      <c r="D18" s="251">
        <v>51434.582561632444</v>
      </c>
      <c r="E18" s="251">
        <v>53334.94728900263</v>
      </c>
      <c r="F18" s="253">
        <v>55630.15491146475</v>
      </c>
      <c r="G18" s="253">
        <v>60847.366920896209</v>
      </c>
      <c r="H18" s="253">
        <v>65604.088973496982</v>
      </c>
      <c r="I18" s="253">
        <v>68794.659926561231</v>
      </c>
      <c r="J18" s="253">
        <v>72722.079293293966</v>
      </c>
      <c r="K18" s="253">
        <v>72549.910880616299</v>
      </c>
      <c r="L18" s="253">
        <v>76164.227100047996</v>
      </c>
      <c r="M18" s="253">
        <v>79662.812061336357</v>
      </c>
      <c r="N18" s="253">
        <v>69300.071132806304</v>
      </c>
      <c r="O18" s="253">
        <v>74475.251791364688</v>
      </c>
      <c r="P18" s="253">
        <v>81733.124628028163</v>
      </c>
      <c r="Q18" s="252">
        <v>83193.203789015199</v>
      </c>
      <c r="R18" s="37" t="s">
        <v>189</v>
      </c>
    </row>
    <row r="19" spans="2:19" ht="35.25" customHeight="1">
      <c r="B19" s="317" t="s">
        <v>79</v>
      </c>
      <c r="C19" s="185" t="s">
        <v>57</v>
      </c>
      <c r="D19" s="225">
        <v>58000.442988081333</v>
      </c>
      <c r="E19" s="225">
        <v>61042.084122379521</v>
      </c>
      <c r="F19" s="225">
        <v>68818.035263197948</v>
      </c>
      <c r="G19" s="225">
        <v>77779.629785387398</v>
      </c>
      <c r="H19" s="225">
        <v>83915.343946145251</v>
      </c>
      <c r="I19" s="225">
        <v>87530.273537236571</v>
      </c>
      <c r="J19" s="225">
        <v>92935.591858082771</v>
      </c>
      <c r="K19" s="225">
        <v>104256.77957947821</v>
      </c>
      <c r="L19" s="225">
        <v>109946.60418608942</v>
      </c>
      <c r="M19" s="225">
        <v>109824.01450349813</v>
      </c>
      <c r="N19" s="225">
        <v>112141.57077424169</v>
      </c>
      <c r="O19" s="225">
        <v>114445.43787815169</v>
      </c>
      <c r="P19" s="225">
        <v>117222.33621860105</v>
      </c>
      <c r="Q19" s="252">
        <v>124137.16533187206</v>
      </c>
      <c r="R19" s="186" t="s">
        <v>131</v>
      </c>
    </row>
    <row r="20" spans="2:19" ht="25.15" customHeight="1">
      <c r="B20" s="317" t="s">
        <v>80</v>
      </c>
      <c r="C20" s="184" t="s">
        <v>58</v>
      </c>
      <c r="D20" s="251">
        <v>12661.446961519396</v>
      </c>
      <c r="E20" s="251">
        <v>15108.390226085676</v>
      </c>
      <c r="F20" s="251">
        <v>17110.041584202881</v>
      </c>
      <c r="G20" s="251">
        <v>18343.398859397403</v>
      </c>
      <c r="H20" s="251">
        <v>20427.935280024907</v>
      </c>
      <c r="I20" s="251">
        <v>21312.520085896293</v>
      </c>
      <c r="J20" s="251">
        <v>23235.706016433163</v>
      </c>
      <c r="K20" s="251">
        <v>24687.668799587311</v>
      </c>
      <c r="L20" s="251">
        <v>25450.256873086157</v>
      </c>
      <c r="M20" s="251">
        <v>25239.411610484902</v>
      </c>
      <c r="N20" s="251">
        <v>25345.807804837888</v>
      </c>
      <c r="O20" s="251">
        <v>26186.419474351838</v>
      </c>
      <c r="P20" s="251">
        <v>28383.791730608966</v>
      </c>
      <c r="Q20" s="252">
        <v>29917.77222589821</v>
      </c>
      <c r="R20" s="37" t="s">
        <v>59</v>
      </c>
    </row>
    <row r="21" spans="2:19" ht="25.15" customHeight="1">
      <c r="B21" s="317" t="s">
        <v>81</v>
      </c>
      <c r="C21" s="184" t="s">
        <v>60</v>
      </c>
      <c r="D21" s="251">
        <v>6859.025785348399</v>
      </c>
      <c r="E21" s="251">
        <v>9228.9235488209906</v>
      </c>
      <c r="F21" s="251">
        <v>12302.557216604255</v>
      </c>
      <c r="G21" s="251">
        <v>15145.855711985503</v>
      </c>
      <c r="H21" s="251">
        <v>16348.415013572914</v>
      </c>
      <c r="I21" s="251">
        <v>16989.729583124055</v>
      </c>
      <c r="J21" s="251">
        <v>18423.921071721834</v>
      </c>
      <c r="K21" s="251">
        <v>18756.176936614615</v>
      </c>
      <c r="L21" s="251">
        <v>19934.22895356737</v>
      </c>
      <c r="M21" s="251">
        <v>21947.027182524667</v>
      </c>
      <c r="N21" s="251">
        <v>23009.771436821662</v>
      </c>
      <c r="O21" s="251">
        <v>26876.977647372551</v>
      </c>
      <c r="P21" s="251">
        <v>30996.960050330155</v>
      </c>
      <c r="Q21" s="252">
        <v>33249.212301758867</v>
      </c>
      <c r="R21" s="37" t="s">
        <v>132</v>
      </c>
    </row>
    <row r="22" spans="2:19" ht="25.15" customHeight="1">
      <c r="B22" s="317" t="s">
        <v>82</v>
      </c>
      <c r="C22" s="184" t="s">
        <v>61</v>
      </c>
      <c r="D22" s="251">
        <v>6650.6857766655194</v>
      </c>
      <c r="E22" s="251">
        <v>6186.4508685823712</v>
      </c>
      <c r="F22" s="251">
        <v>7158.855258867914</v>
      </c>
      <c r="G22" s="251">
        <v>6969.084982670186</v>
      </c>
      <c r="H22" s="251">
        <v>7551.5568695778429</v>
      </c>
      <c r="I22" s="251">
        <v>8127.3106339309024</v>
      </c>
      <c r="J22" s="251">
        <v>9237.0534596154648</v>
      </c>
      <c r="K22" s="251">
        <v>9659.8190434562457</v>
      </c>
      <c r="L22" s="251">
        <v>9910.9266999907195</v>
      </c>
      <c r="M22" s="251">
        <v>9746.679554308399</v>
      </c>
      <c r="N22" s="251">
        <v>7950.2212740656023</v>
      </c>
      <c r="O22" s="251">
        <v>8696.5385115580211</v>
      </c>
      <c r="P22" s="251">
        <v>9759.7761869050846</v>
      </c>
      <c r="Q22" s="252">
        <v>10270.808437721977</v>
      </c>
      <c r="R22" s="37" t="s">
        <v>133</v>
      </c>
    </row>
    <row r="23" spans="2:19" ht="25.15" customHeight="1">
      <c r="B23" s="66" t="s">
        <v>83</v>
      </c>
      <c r="C23" s="188" t="s">
        <v>114</v>
      </c>
      <c r="D23" s="227">
        <v>4637.4780095990973</v>
      </c>
      <c r="E23" s="227">
        <v>5090.2985227509362</v>
      </c>
      <c r="F23" s="227">
        <v>5437.6905862035064</v>
      </c>
      <c r="G23" s="227">
        <v>6684.3916131643082</v>
      </c>
      <c r="H23" s="227">
        <v>7607.6628187400565</v>
      </c>
      <c r="I23" s="227">
        <v>8225.0801532298756</v>
      </c>
      <c r="J23" s="227">
        <v>8854.2923584608179</v>
      </c>
      <c r="K23" s="227">
        <v>9480.2280752452862</v>
      </c>
      <c r="L23" s="227">
        <v>10144.907516283205</v>
      </c>
      <c r="M23" s="227">
        <v>10800.982667795603</v>
      </c>
      <c r="N23" s="227">
        <v>10619.575114443309</v>
      </c>
      <c r="O23" s="227">
        <v>10706.856243053457</v>
      </c>
      <c r="P23" s="227">
        <v>11396.288757616006</v>
      </c>
      <c r="Q23" s="254">
        <v>11616.569435400017</v>
      </c>
      <c r="R23" s="186" t="s">
        <v>134</v>
      </c>
    </row>
    <row r="24" spans="2:19" ht="25.15" customHeight="1">
      <c r="B24" s="318"/>
      <c r="C24" s="26" t="s">
        <v>16</v>
      </c>
      <c r="D24" s="31">
        <v>1102444.2960188196</v>
      </c>
      <c r="E24" s="31">
        <v>1325158.2360281735</v>
      </c>
      <c r="F24" s="31">
        <v>1412480.6854728626</v>
      </c>
      <c r="G24" s="31">
        <v>1469802.5504980453</v>
      </c>
      <c r="H24" s="31">
        <v>1520801.9594220994</v>
      </c>
      <c r="I24" s="31">
        <v>1359836.661959708</v>
      </c>
      <c r="J24" s="31">
        <v>1356090.1856008724</v>
      </c>
      <c r="K24" s="31">
        <v>1434172.9627506007</v>
      </c>
      <c r="L24" s="31">
        <v>1568339.0395684734</v>
      </c>
      <c r="M24" s="31">
        <v>1535067.253069933</v>
      </c>
      <c r="N24" s="31">
        <v>1283439.6488249118</v>
      </c>
      <c r="O24" s="31">
        <v>1524744.1164473973</v>
      </c>
      <c r="P24" s="31">
        <v>1846283.0320127676</v>
      </c>
      <c r="Q24" s="31">
        <v>1888144.0139184361</v>
      </c>
      <c r="R24" s="24" t="s">
        <v>20</v>
      </c>
      <c r="S24" s="133"/>
    </row>
    <row r="25" spans="2:19" ht="25.15" customHeight="1" thickBot="1">
      <c r="B25" s="319"/>
      <c r="C25" s="75" t="s">
        <v>175</v>
      </c>
      <c r="D25" s="84">
        <v>774951.7201311104</v>
      </c>
      <c r="E25" s="84">
        <v>829064.82220249483</v>
      </c>
      <c r="F25" s="84">
        <v>881016.02036278206</v>
      </c>
      <c r="G25" s="84">
        <v>947023.02946901158</v>
      </c>
      <c r="H25" s="84">
        <v>1021020.141239071</v>
      </c>
      <c r="I25" s="84">
        <v>1075966.1223768732</v>
      </c>
      <c r="J25" s="84">
        <v>1105237.7804712139</v>
      </c>
      <c r="K25" s="84">
        <v>1145243.3008157748</v>
      </c>
      <c r="L25" s="84">
        <v>1166508.8320745765</v>
      </c>
      <c r="M25" s="84">
        <v>1189237.1035670028</v>
      </c>
      <c r="N25" s="84">
        <v>1061009.7125422496</v>
      </c>
      <c r="O25" s="84">
        <v>1157701.5641795944</v>
      </c>
      <c r="P25" s="84">
        <v>1298756.5246611242</v>
      </c>
      <c r="Q25" s="84">
        <v>1426916.5440586801</v>
      </c>
      <c r="R25" s="48" t="s">
        <v>190</v>
      </c>
    </row>
    <row r="26" spans="2:19" ht="24.95" customHeight="1">
      <c r="B26" s="527" t="s">
        <v>326</v>
      </c>
      <c r="C26" s="527"/>
      <c r="D26" s="31"/>
      <c r="E26" s="31"/>
      <c r="F26" s="31"/>
      <c r="G26" s="31"/>
      <c r="H26" s="31"/>
      <c r="I26" s="31"/>
      <c r="J26" s="31"/>
      <c r="K26" s="31"/>
      <c r="L26" s="31"/>
      <c r="M26" s="31"/>
      <c r="N26" s="31"/>
      <c r="O26" s="31"/>
      <c r="P26" s="31"/>
      <c r="Q26" s="31"/>
      <c r="R26" s="313" t="s">
        <v>327</v>
      </c>
    </row>
    <row r="27" spans="2:19" ht="24.95" customHeight="1">
      <c r="B27" s="528" t="s">
        <v>191</v>
      </c>
      <c r="C27" s="528"/>
      <c r="D27" s="11"/>
      <c r="E27" s="11"/>
      <c r="F27" s="11"/>
      <c r="G27" s="11"/>
      <c r="H27" s="11"/>
      <c r="I27" s="11"/>
      <c r="J27" s="11"/>
      <c r="K27" s="11"/>
      <c r="L27" s="11"/>
      <c r="M27" s="11"/>
      <c r="N27" s="11"/>
      <c r="O27" s="11"/>
      <c r="P27" s="11"/>
      <c r="Q27" s="11"/>
      <c r="R27" s="313" t="s">
        <v>325</v>
      </c>
    </row>
    <row r="28" spans="2:19" s="99" customFormat="1" ht="24.95" customHeight="1">
      <c r="B28" s="320" t="s">
        <v>192</v>
      </c>
      <c r="C28" s="146"/>
      <c r="D28" s="78"/>
      <c r="E28" s="78"/>
      <c r="F28" s="78"/>
      <c r="G28" s="78"/>
      <c r="H28" s="78"/>
      <c r="I28" s="78"/>
      <c r="J28" s="78"/>
      <c r="K28" s="78"/>
      <c r="L28" s="78"/>
      <c r="M28" s="78"/>
      <c r="N28" s="78"/>
      <c r="O28" s="78"/>
      <c r="P28" s="78"/>
      <c r="Q28" s="78"/>
      <c r="R28" s="81" t="s">
        <v>551</v>
      </c>
    </row>
    <row r="29" spans="2:19" ht="25.15" customHeight="1">
      <c r="C29" s="16"/>
      <c r="D29" s="291"/>
      <c r="E29" s="291"/>
      <c r="F29" s="291"/>
      <c r="G29" s="291"/>
      <c r="H29" s="291"/>
      <c r="I29" s="291"/>
      <c r="J29" s="291"/>
      <c r="K29" s="291"/>
      <c r="L29" s="291"/>
      <c r="M29" s="291"/>
      <c r="N29" s="291"/>
      <c r="O29" s="291"/>
      <c r="P29" s="291"/>
      <c r="Q29" s="497"/>
      <c r="R29" s="15"/>
    </row>
    <row r="30" spans="2:19" ht="25.15" customHeight="1">
      <c r="B30" s="507" t="s">
        <v>375</v>
      </c>
      <c r="C30" s="507"/>
      <c r="D30" s="507"/>
      <c r="E30" s="507"/>
      <c r="F30" s="507"/>
      <c r="G30" s="507"/>
      <c r="H30" s="507"/>
      <c r="I30" s="507"/>
      <c r="J30" s="507"/>
      <c r="K30" s="507"/>
      <c r="L30" s="507"/>
      <c r="M30" s="507"/>
      <c r="N30" s="507"/>
      <c r="O30" s="507"/>
      <c r="P30" s="507"/>
      <c r="Q30" s="507"/>
      <c r="R30" s="507"/>
    </row>
    <row r="31" spans="2:19" ht="25.15" customHeight="1">
      <c r="B31" s="529" t="s">
        <v>372</v>
      </c>
      <c r="C31" s="529"/>
      <c r="D31" s="529"/>
      <c r="E31" s="529"/>
      <c r="F31" s="529"/>
      <c r="G31" s="529"/>
      <c r="H31" s="529"/>
      <c r="I31" s="529"/>
      <c r="J31" s="529"/>
      <c r="K31" s="529"/>
      <c r="L31" s="529"/>
      <c r="M31" s="529"/>
      <c r="N31" s="529"/>
      <c r="O31" s="529"/>
      <c r="P31" s="529"/>
      <c r="Q31" s="529"/>
      <c r="R31" s="529"/>
    </row>
    <row r="32" spans="2:19" ht="25.15" customHeight="1">
      <c r="B32" s="179"/>
      <c r="C32" s="179"/>
      <c r="D32" s="179"/>
      <c r="E32" s="179"/>
      <c r="F32" s="179"/>
      <c r="G32" s="179"/>
      <c r="H32" s="179"/>
      <c r="I32" s="179"/>
      <c r="J32" s="179"/>
      <c r="K32" s="179"/>
      <c r="L32" s="179"/>
      <c r="M32" s="179"/>
      <c r="N32" s="179"/>
      <c r="O32" s="179"/>
      <c r="P32" s="179"/>
      <c r="Q32" s="179"/>
      <c r="R32" s="312" t="s">
        <v>203</v>
      </c>
    </row>
    <row r="33" spans="2:33" ht="25.15" customHeight="1">
      <c r="B33" s="49" t="s">
        <v>67</v>
      </c>
      <c r="C33" s="183" t="s">
        <v>117</v>
      </c>
      <c r="D33" s="49">
        <v>2010</v>
      </c>
      <c r="E33" s="49">
        <v>2011</v>
      </c>
      <c r="F33" s="49">
        <v>2012</v>
      </c>
      <c r="G33" s="49">
        <v>2013</v>
      </c>
      <c r="H33" s="49">
        <v>2014</v>
      </c>
      <c r="I33" s="49">
        <v>2015</v>
      </c>
      <c r="J33" s="49">
        <v>2016</v>
      </c>
      <c r="K33" s="49">
        <v>2017</v>
      </c>
      <c r="L33" s="49">
        <v>2018</v>
      </c>
      <c r="M33" s="49">
        <v>2019</v>
      </c>
      <c r="N33" s="49">
        <v>2020</v>
      </c>
      <c r="O33" s="49">
        <v>2021</v>
      </c>
      <c r="P33" s="49" t="s">
        <v>185</v>
      </c>
      <c r="Q33" s="49" t="s">
        <v>186</v>
      </c>
      <c r="R33" s="49" t="s">
        <v>118</v>
      </c>
    </row>
    <row r="34" spans="2:33" ht="25.15" customHeight="1">
      <c r="B34" s="193"/>
      <c r="C34" s="59" t="s">
        <v>102</v>
      </c>
      <c r="D34" s="189">
        <v>87.960827582437986</v>
      </c>
      <c r="E34" s="189">
        <v>89.422938340355728</v>
      </c>
      <c r="F34" s="189">
        <v>89.090673386632218</v>
      </c>
      <c r="G34" s="189">
        <v>87.749979413657442</v>
      </c>
      <c r="H34" s="189">
        <v>86.7553861778064</v>
      </c>
      <c r="I34" s="189">
        <v>84.205628210873869</v>
      </c>
      <c r="J34" s="189">
        <v>83.27718932039997</v>
      </c>
      <c r="K34" s="189">
        <v>83.21086654138692</v>
      </c>
      <c r="L34" s="189">
        <v>84.376856905591154</v>
      </c>
      <c r="M34" s="189">
        <v>83.744175395796091</v>
      </c>
      <c r="N34" s="189">
        <v>82.009936477808282</v>
      </c>
      <c r="O34" s="189">
        <v>84.295861976565917</v>
      </c>
      <c r="P34" s="189">
        <v>85.977746482165017</v>
      </c>
      <c r="Q34" s="189">
        <v>84.719410030307714</v>
      </c>
      <c r="R34" s="23" t="s">
        <v>44</v>
      </c>
      <c r="S34" s="163"/>
      <c r="T34" s="163"/>
      <c r="U34" s="163"/>
      <c r="V34" s="163"/>
      <c r="W34" s="163"/>
      <c r="X34" s="163"/>
      <c r="Y34" s="163"/>
      <c r="Z34" s="163"/>
      <c r="AA34" s="163"/>
      <c r="AB34" s="163"/>
      <c r="AC34" s="163"/>
      <c r="AD34" s="163"/>
      <c r="AE34" s="163"/>
      <c r="AF34" s="163"/>
      <c r="AG34" s="163"/>
    </row>
    <row r="35" spans="2:33" ht="25.15" customHeight="1">
      <c r="B35" s="317" t="s">
        <v>68</v>
      </c>
      <c r="C35" s="184" t="s">
        <v>45</v>
      </c>
      <c r="D35" s="192">
        <v>0.73502577053529905</v>
      </c>
      <c r="E35" s="192">
        <v>0.65142159493687446</v>
      </c>
      <c r="F35" s="192">
        <v>0.62794399321894556</v>
      </c>
      <c r="G35" s="192">
        <v>0.63317249505887141</v>
      </c>
      <c r="H35" s="192">
        <v>0.62871600418515838</v>
      </c>
      <c r="I35" s="192">
        <v>0.72367159303050677</v>
      </c>
      <c r="J35" s="192">
        <v>0.75086291219063184</v>
      </c>
      <c r="K35" s="192">
        <v>0.76175760165635931</v>
      </c>
      <c r="L35" s="192">
        <v>0.71146399983149089</v>
      </c>
      <c r="M35" s="192">
        <v>0.74671220101852231</v>
      </c>
      <c r="N35" s="192">
        <v>0.96389071278009386</v>
      </c>
      <c r="O35" s="192">
        <v>0.94341835930867413</v>
      </c>
      <c r="P35" s="192">
        <v>0.7033470210342373</v>
      </c>
      <c r="Q35" s="192">
        <v>0.70120677766281669</v>
      </c>
      <c r="R35" s="37" t="s">
        <v>123</v>
      </c>
      <c r="S35" s="163"/>
      <c r="T35" s="163"/>
      <c r="U35" s="163"/>
      <c r="V35" s="163"/>
      <c r="W35" s="163"/>
      <c r="X35" s="163"/>
      <c r="Y35" s="163"/>
      <c r="Z35" s="163"/>
      <c r="AA35" s="163"/>
      <c r="AB35" s="163"/>
      <c r="AC35" s="163"/>
      <c r="AD35" s="163"/>
      <c r="AE35" s="163"/>
      <c r="AF35" s="163"/>
      <c r="AG35" s="163"/>
    </row>
    <row r="36" spans="2:33" ht="25.15" customHeight="1">
      <c r="B36" s="317" t="s">
        <v>69</v>
      </c>
      <c r="C36" s="184" t="s">
        <v>46</v>
      </c>
      <c r="D36" s="192">
        <v>29.706042932995373</v>
      </c>
      <c r="E36" s="192">
        <v>37.43654156446955</v>
      </c>
      <c r="F36" s="192">
        <v>37.626331501457635</v>
      </c>
      <c r="G36" s="192">
        <v>35.568010196464073</v>
      </c>
      <c r="H36" s="192">
        <v>32.863044072677553</v>
      </c>
      <c r="I36" s="192">
        <v>20.875340952621414</v>
      </c>
      <c r="J36" s="192">
        <v>18.498209617121287</v>
      </c>
      <c r="K36" s="192">
        <v>20.146082058379317</v>
      </c>
      <c r="L36" s="192">
        <v>25.62138653415526</v>
      </c>
      <c r="M36" s="192">
        <v>22.528664383356194</v>
      </c>
      <c r="N36" s="192">
        <v>17.330767090319675</v>
      </c>
      <c r="O36" s="192">
        <v>24.072403251700997</v>
      </c>
      <c r="P36" s="192">
        <v>29.655610643550396</v>
      </c>
      <c r="Q36" s="192">
        <v>24.427557774185765</v>
      </c>
      <c r="R36" s="37" t="s">
        <v>124</v>
      </c>
      <c r="S36" s="163"/>
      <c r="T36" s="163"/>
      <c r="U36" s="163"/>
      <c r="V36" s="163"/>
      <c r="W36" s="163"/>
      <c r="X36" s="163"/>
      <c r="Y36" s="163"/>
      <c r="Z36" s="163"/>
      <c r="AA36" s="163"/>
      <c r="AB36" s="163"/>
      <c r="AC36" s="163"/>
      <c r="AD36" s="163"/>
      <c r="AE36" s="163"/>
      <c r="AF36" s="163"/>
      <c r="AG36" s="163"/>
    </row>
    <row r="37" spans="2:33" ht="25.15" customHeight="1">
      <c r="B37" s="317" t="s">
        <v>70</v>
      </c>
      <c r="C37" s="184" t="s">
        <v>13</v>
      </c>
      <c r="D37" s="192">
        <v>8.4754217577298174</v>
      </c>
      <c r="E37" s="192">
        <v>8.148293159700982</v>
      </c>
      <c r="F37" s="192">
        <v>8.0850363767056255</v>
      </c>
      <c r="G37" s="192">
        <v>7.9257442683354951</v>
      </c>
      <c r="H37" s="192">
        <v>8.1152945374022902</v>
      </c>
      <c r="I37" s="192">
        <v>9.1758933520036798</v>
      </c>
      <c r="J37" s="192">
        <v>9.3274609105933788</v>
      </c>
      <c r="K37" s="192">
        <v>9.3813808234373308</v>
      </c>
      <c r="L37" s="192">
        <v>8.9257897948202913</v>
      </c>
      <c r="M37" s="192">
        <v>8.8673531080482615</v>
      </c>
      <c r="N37" s="192">
        <v>10.291780036005827</v>
      </c>
      <c r="O37" s="192">
        <v>10.001751500478747</v>
      </c>
      <c r="P37" s="192">
        <v>9.8207478785527034</v>
      </c>
      <c r="Q37" s="192">
        <v>10.845790341981894</v>
      </c>
      <c r="R37" s="37" t="s">
        <v>47</v>
      </c>
      <c r="S37" s="163"/>
      <c r="T37" s="163"/>
      <c r="U37" s="163"/>
      <c r="V37" s="163"/>
      <c r="W37" s="163"/>
      <c r="X37" s="163"/>
      <c r="Y37" s="163"/>
      <c r="Z37" s="163"/>
      <c r="AA37" s="163"/>
      <c r="AB37" s="163"/>
      <c r="AC37" s="163"/>
      <c r="AD37" s="163"/>
      <c r="AE37" s="163"/>
      <c r="AF37" s="163"/>
      <c r="AG37" s="163"/>
    </row>
    <row r="38" spans="2:33" ht="25.15" customHeight="1">
      <c r="B38" s="317" t="s">
        <v>71</v>
      </c>
      <c r="C38" s="184" t="s">
        <v>48</v>
      </c>
      <c r="D38" s="192">
        <v>2.4029201140193237</v>
      </c>
      <c r="E38" s="192">
        <v>2.3476909915865414</v>
      </c>
      <c r="F38" s="192">
        <v>2.4904777814210783</v>
      </c>
      <c r="G38" s="192">
        <v>2.4654763748906605</v>
      </c>
      <c r="H38" s="192">
        <v>2.5897352199998611</v>
      </c>
      <c r="I38" s="192">
        <v>3.4710676998342174</v>
      </c>
      <c r="J38" s="192">
        <v>3.6186001263190146</v>
      </c>
      <c r="K38" s="192">
        <v>3.872314451806568</v>
      </c>
      <c r="L38" s="192">
        <v>3.7259335041080108</v>
      </c>
      <c r="M38" s="192">
        <v>4.0273788941276667</v>
      </c>
      <c r="N38" s="192">
        <v>4.7666793015877058</v>
      </c>
      <c r="O38" s="192">
        <v>4.6195693821729433</v>
      </c>
      <c r="P38" s="192">
        <v>4.1497176843002785</v>
      </c>
      <c r="Q38" s="192">
        <v>4.4106829917124646</v>
      </c>
      <c r="R38" s="37" t="s">
        <v>125</v>
      </c>
      <c r="S38" s="163"/>
      <c r="T38" s="163"/>
      <c r="U38" s="163"/>
      <c r="V38" s="163"/>
      <c r="W38" s="163"/>
      <c r="X38" s="163"/>
      <c r="Y38" s="163"/>
      <c r="Z38" s="163"/>
      <c r="AA38" s="163"/>
      <c r="AB38" s="163"/>
      <c r="AC38" s="163"/>
      <c r="AD38" s="163"/>
      <c r="AE38" s="163"/>
      <c r="AF38" s="163"/>
      <c r="AG38" s="163"/>
    </row>
    <row r="39" spans="2:33" ht="25.15" customHeight="1">
      <c r="B39" s="317" t="s">
        <v>72</v>
      </c>
      <c r="C39" s="184" t="s">
        <v>14</v>
      </c>
      <c r="D39" s="192">
        <v>11.094074678113994</v>
      </c>
      <c r="E39" s="192">
        <v>9.1445949569339611</v>
      </c>
      <c r="F39" s="192">
        <v>8.3662160806720198</v>
      </c>
      <c r="G39" s="192">
        <v>8.244584138557876</v>
      </c>
      <c r="H39" s="192">
        <v>8.4216398378858415</v>
      </c>
      <c r="I39" s="192">
        <v>9.831942926022414</v>
      </c>
      <c r="J39" s="192">
        <v>9.5843010771595623</v>
      </c>
      <c r="K39" s="192">
        <v>9.1282574318431084</v>
      </c>
      <c r="L39" s="192">
        <v>8.6458477568094985</v>
      </c>
      <c r="M39" s="192">
        <v>9.1011196545840818</v>
      </c>
      <c r="N39" s="192">
        <v>9.7848166449882044</v>
      </c>
      <c r="O39" s="192">
        <v>8.4455998834921076</v>
      </c>
      <c r="P39" s="192">
        <v>7.4572527502441313</v>
      </c>
      <c r="Q39" s="192">
        <v>8.0396107224945883</v>
      </c>
      <c r="R39" s="37" t="s">
        <v>49</v>
      </c>
      <c r="S39" s="163"/>
      <c r="T39" s="163"/>
      <c r="U39" s="163"/>
      <c r="V39" s="163"/>
      <c r="W39" s="163"/>
      <c r="X39" s="163"/>
      <c r="Y39" s="163"/>
      <c r="Z39" s="163"/>
      <c r="AA39" s="163"/>
      <c r="AB39" s="163"/>
      <c r="AC39" s="163"/>
      <c r="AD39" s="163"/>
      <c r="AE39" s="163"/>
      <c r="AF39" s="163"/>
      <c r="AG39" s="163"/>
    </row>
    <row r="40" spans="2:33" ht="25.15" customHeight="1">
      <c r="B40" s="317" t="s">
        <v>73</v>
      </c>
      <c r="C40" s="184" t="s">
        <v>50</v>
      </c>
      <c r="D40" s="192">
        <v>13.432900002100325</v>
      </c>
      <c r="E40" s="192">
        <v>11.421257754548334</v>
      </c>
      <c r="F40" s="192">
        <v>11.224022589643239</v>
      </c>
      <c r="G40" s="192">
        <v>11.752806210713937</v>
      </c>
      <c r="H40" s="192">
        <v>11.713240675701222</v>
      </c>
      <c r="I40" s="192">
        <v>13.608072782412636</v>
      </c>
      <c r="J40" s="192">
        <v>14.378047292078946</v>
      </c>
      <c r="K40" s="192">
        <v>13.736234487576121</v>
      </c>
      <c r="L40" s="192">
        <v>12.715749916594399</v>
      </c>
      <c r="M40" s="192">
        <v>13.402477657606484</v>
      </c>
      <c r="N40" s="192">
        <v>13.676555952295743</v>
      </c>
      <c r="O40" s="192">
        <v>12.757813812261054</v>
      </c>
      <c r="P40" s="192">
        <v>11.49501728273216</v>
      </c>
      <c r="Q40" s="192">
        <v>11.999591562875633</v>
      </c>
      <c r="R40" s="37" t="s">
        <v>126</v>
      </c>
      <c r="S40" s="163"/>
      <c r="T40" s="163"/>
      <c r="U40" s="163"/>
      <c r="V40" s="163"/>
      <c r="W40" s="163"/>
      <c r="X40" s="163"/>
      <c r="Y40" s="163"/>
      <c r="Z40" s="163"/>
      <c r="AA40" s="163"/>
      <c r="AB40" s="163"/>
      <c r="AC40" s="163"/>
      <c r="AD40" s="163"/>
      <c r="AE40" s="163"/>
      <c r="AF40" s="163"/>
      <c r="AG40" s="163"/>
    </row>
    <row r="41" spans="2:33" ht="25.15" customHeight="1">
      <c r="B41" s="317" t="s">
        <v>74</v>
      </c>
      <c r="C41" s="184" t="s">
        <v>51</v>
      </c>
      <c r="D41" s="192">
        <v>5.7016582198075714</v>
      </c>
      <c r="E41" s="192">
        <v>5.5384308586867652</v>
      </c>
      <c r="F41" s="192">
        <v>5.4599096450802236</v>
      </c>
      <c r="G41" s="192">
        <v>5.501268667210665</v>
      </c>
      <c r="H41" s="192">
        <v>5.7390637463555647</v>
      </c>
      <c r="I41" s="192">
        <v>6.811248599382175</v>
      </c>
      <c r="J41" s="192">
        <v>6.031722602603911</v>
      </c>
      <c r="K41" s="192">
        <v>5.8329087451100046</v>
      </c>
      <c r="L41" s="192">
        <v>5.4637232111162097</v>
      </c>
      <c r="M41" s="192">
        <v>5.7717553229153946</v>
      </c>
      <c r="N41" s="192">
        <v>5.1307559740573332</v>
      </c>
      <c r="O41" s="192">
        <v>4.7200583243473346</v>
      </c>
      <c r="P41" s="192">
        <v>5.3059016383081605</v>
      </c>
      <c r="Q41" s="192">
        <v>6.1802801176041493</v>
      </c>
      <c r="R41" s="37" t="s">
        <v>127</v>
      </c>
      <c r="S41" s="163"/>
      <c r="T41" s="163"/>
      <c r="U41" s="163"/>
      <c r="V41" s="163"/>
      <c r="W41" s="163"/>
      <c r="X41" s="163"/>
      <c r="Y41" s="163"/>
      <c r="Z41" s="163"/>
      <c r="AA41" s="163"/>
      <c r="AB41" s="163"/>
      <c r="AC41" s="163"/>
      <c r="AD41" s="163"/>
      <c r="AE41" s="163"/>
      <c r="AF41" s="163"/>
      <c r="AG41" s="163"/>
    </row>
    <row r="42" spans="2:33" ht="25.15" customHeight="1">
      <c r="B42" s="317" t="s">
        <v>75</v>
      </c>
      <c r="C42" s="184" t="s">
        <v>52</v>
      </c>
      <c r="D42" s="192">
        <v>1.7203492215296194</v>
      </c>
      <c r="E42" s="192">
        <v>1.6642103714432799</v>
      </c>
      <c r="F42" s="192">
        <v>1.7234954667824316</v>
      </c>
      <c r="G42" s="192">
        <v>1.9372019094619295</v>
      </c>
      <c r="H42" s="192">
        <v>2.0919092600756382</v>
      </c>
      <c r="I42" s="192">
        <v>2.3675470249242379</v>
      </c>
      <c r="J42" s="192">
        <v>2.3140226540047366</v>
      </c>
      <c r="K42" s="192">
        <v>2.2262027038060275</v>
      </c>
      <c r="L42" s="192">
        <v>2.0515990937123898</v>
      </c>
      <c r="M42" s="192">
        <v>2.102768400063082</v>
      </c>
      <c r="N42" s="192">
        <v>1.5058875766134239</v>
      </c>
      <c r="O42" s="192">
        <v>2.0210633585101228</v>
      </c>
      <c r="P42" s="192">
        <v>2.0994049766255047</v>
      </c>
      <c r="Q42" s="192">
        <v>2.2575001787285953</v>
      </c>
      <c r="R42" s="37" t="s">
        <v>128</v>
      </c>
      <c r="S42" s="163"/>
      <c r="T42" s="163"/>
      <c r="U42" s="163"/>
      <c r="V42" s="163"/>
      <c r="W42" s="163"/>
      <c r="X42" s="163"/>
      <c r="Y42" s="163"/>
      <c r="Z42" s="163"/>
      <c r="AA42" s="163"/>
      <c r="AB42" s="163"/>
      <c r="AC42" s="163"/>
      <c r="AD42" s="163"/>
      <c r="AE42" s="163"/>
      <c r="AF42" s="163"/>
      <c r="AG42" s="163"/>
    </row>
    <row r="43" spans="2:33" ht="25.15" customHeight="1">
      <c r="B43" s="317" t="s">
        <v>76</v>
      </c>
      <c r="C43" s="184" t="s">
        <v>53</v>
      </c>
      <c r="D43" s="192">
        <v>2.9568423683319809</v>
      </c>
      <c r="E43" s="192">
        <v>2.5320048368065997</v>
      </c>
      <c r="F43" s="192">
        <v>2.4151253468962017</v>
      </c>
      <c r="G43" s="192">
        <v>2.3660167635059204</v>
      </c>
      <c r="H43" s="192">
        <v>2.4885622665349878</v>
      </c>
      <c r="I43" s="192">
        <v>2.9037737073454526</v>
      </c>
      <c r="J43" s="192">
        <v>3.0743475677230059</v>
      </c>
      <c r="K43" s="192">
        <v>3.0641451813341876</v>
      </c>
      <c r="L43" s="192">
        <v>2.8523544811621182</v>
      </c>
      <c r="M43" s="192">
        <v>3.0443767833070767</v>
      </c>
      <c r="N43" s="192">
        <v>3.5693190022229695</v>
      </c>
      <c r="O43" s="192">
        <v>3.0904318460569757</v>
      </c>
      <c r="P43" s="192">
        <v>2.7306322684054649</v>
      </c>
      <c r="Q43" s="192">
        <v>2.8257416911060598</v>
      </c>
      <c r="R43" s="37" t="s">
        <v>129</v>
      </c>
      <c r="S43" s="163"/>
      <c r="T43" s="163"/>
      <c r="U43" s="163"/>
      <c r="V43" s="163"/>
      <c r="W43" s="163"/>
      <c r="X43" s="163"/>
      <c r="Y43" s="163"/>
      <c r="Z43" s="163"/>
      <c r="AA43" s="163"/>
      <c r="AB43" s="163"/>
      <c r="AC43" s="163"/>
      <c r="AD43" s="163"/>
      <c r="AE43" s="163"/>
      <c r="AF43" s="163"/>
      <c r="AG43" s="163"/>
    </row>
    <row r="44" spans="2:33" ht="25.15" customHeight="1">
      <c r="B44" s="317" t="s">
        <v>77</v>
      </c>
      <c r="C44" s="185" t="s">
        <v>54</v>
      </c>
      <c r="D44" s="189">
        <v>6.3574412658040149</v>
      </c>
      <c r="E44" s="189">
        <v>5.5865344269610606</v>
      </c>
      <c r="F44" s="189">
        <v>5.6522121895664741</v>
      </c>
      <c r="G44" s="189">
        <v>6.5033969075408873</v>
      </c>
      <c r="H44" s="189">
        <v>7.2265385430386662</v>
      </c>
      <c r="I44" s="189">
        <v>8.7526912425471082</v>
      </c>
      <c r="J44" s="189">
        <v>9.2166812718835978</v>
      </c>
      <c r="K44" s="189">
        <v>8.8586389779064074</v>
      </c>
      <c r="L44" s="189">
        <v>7.9659013454936565</v>
      </c>
      <c r="M44" s="189">
        <v>8.3978628810247091</v>
      </c>
      <c r="N44" s="189">
        <v>8.4250523429686126</v>
      </c>
      <c r="O44" s="189">
        <v>7.4960529571473034</v>
      </c>
      <c r="P44" s="189">
        <v>7.0558988069865283</v>
      </c>
      <c r="Q44" s="189">
        <v>8.0907922759483419</v>
      </c>
      <c r="R44" s="186" t="s">
        <v>55</v>
      </c>
      <c r="S44" s="163"/>
      <c r="T44" s="163"/>
      <c r="U44" s="163"/>
      <c r="V44" s="163"/>
      <c r="W44" s="163"/>
      <c r="X44" s="163"/>
      <c r="Y44" s="163"/>
      <c r="Z44" s="163"/>
      <c r="AA44" s="163"/>
      <c r="AB44" s="163"/>
      <c r="AC44" s="163"/>
      <c r="AD44" s="163"/>
      <c r="AE44" s="163"/>
      <c r="AF44" s="163"/>
      <c r="AG44" s="163"/>
    </row>
    <row r="45" spans="2:33" ht="25.15" customHeight="1">
      <c r="B45" s="317" t="s">
        <v>78</v>
      </c>
      <c r="C45" s="184" t="s">
        <v>56</v>
      </c>
      <c r="D45" s="192">
        <v>4.6961673630589145</v>
      </c>
      <c r="E45" s="192">
        <v>4.2102885958185157</v>
      </c>
      <c r="F45" s="192">
        <v>4.5444778080595887</v>
      </c>
      <c r="G45" s="192">
        <v>4.4632279388779779</v>
      </c>
      <c r="H45" s="192">
        <v>4.8756262106717685</v>
      </c>
      <c r="I45" s="192">
        <v>5.9636827723074664</v>
      </c>
      <c r="J45" s="192">
        <v>6.5837931238262053</v>
      </c>
      <c r="K45" s="192">
        <v>6.3001868424635719</v>
      </c>
      <c r="L45" s="192">
        <v>5.2809154363582635</v>
      </c>
      <c r="M45" s="192">
        <v>5.253201174279198</v>
      </c>
      <c r="N45" s="192">
        <v>5.2028244274750248</v>
      </c>
      <c r="O45" s="192">
        <v>4.6887981269122516</v>
      </c>
      <c r="P45" s="192">
        <v>4.3883633132512196</v>
      </c>
      <c r="Q45" s="192">
        <v>4.7359473381092592</v>
      </c>
      <c r="R45" s="37" t="s">
        <v>130</v>
      </c>
      <c r="S45" s="163"/>
      <c r="T45" s="163"/>
      <c r="U45" s="163"/>
      <c r="V45" s="163"/>
      <c r="W45" s="163"/>
      <c r="X45" s="163"/>
      <c r="Y45" s="163"/>
      <c r="Z45" s="163"/>
      <c r="AA45" s="163"/>
      <c r="AB45" s="163"/>
      <c r="AC45" s="163"/>
      <c r="AD45" s="163"/>
      <c r="AE45" s="163"/>
      <c r="AF45" s="163"/>
      <c r="AG45" s="163"/>
    </row>
    <row r="46" spans="2:33" ht="25.15" customHeight="1">
      <c r="B46" s="317" t="s">
        <v>187</v>
      </c>
      <c r="C46" s="187" t="s">
        <v>188</v>
      </c>
      <c r="D46" s="192">
        <v>4.6655039848611466</v>
      </c>
      <c r="E46" s="192">
        <v>4.0247983855015415</v>
      </c>
      <c r="F46" s="192">
        <v>3.9384719015001042</v>
      </c>
      <c r="G46" s="192">
        <v>4.1398327210874664</v>
      </c>
      <c r="H46" s="192">
        <v>4.313782512380925</v>
      </c>
      <c r="I46" s="192">
        <v>5.0590384750635309</v>
      </c>
      <c r="J46" s="192">
        <v>5.362628537944282</v>
      </c>
      <c r="K46" s="192">
        <v>5.0586583881397962</v>
      </c>
      <c r="L46" s="192">
        <v>4.8563623794638495</v>
      </c>
      <c r="M46" s="192">
        <v>5.1895323740390653</v>
      </c>
      <c r="N46" s="192">
        <v>5.3995582259170405</v>
      </c>
      <c r="O46" s="192">
        <v>4.8844426410963653</v>
      </c>
      <c r="P46" s="192">
        <v>4.4269011419622331</v>
      </c>
      <c r="Q46" s="192">
        <v>4.4060836025089856</v>
      </c>
      <c r="R46" s="37" t="s">
        <v>189</v>
      </c>
      <c r="S46" s="163"/>
      <c r="T46" s="163"/>
      <c r="U46" s="163"/>
      <c r="V46" s="163"/>
      <c r="W46" s="163"/>
      <c r="X46" s="163"/>
      <c r="Y46" s="163"/>
      <c r="Z46" s="163"/>
      <c r="AA46" s="163"/>
      <c r="AB46" s="163"/>
      <c r="AC46" s="163"/>
      <c r="AD46" s="163"/>
      <c r="AE46" s="163"/>
      <c r="AF46" s="163"/>
      <c r="AG46" s="163"/>
    </row>
    <row r="47" spans="2:33" ht="25.15" customHeight="1">
      <c r="B47" s="317" t="s">
        <v>79</v>
      </c>
      <c r="C47" s="185" t="s">
        <v>57</v>
      </c>
      <c r="D47" s="189">
        <v>5.2610769721004775</v>
      </c>
      <c r="E47" s="189">
        <v>4.6063996330987402</v>
      </c>
      <c r="F47" s="189">
        <v>4.8721399146183311</v>
      </c>
      <c r="G47" s="189">
        <v>5.2918420749121458</v>
      </c>
      <c r="H47" s="189">
        <v>5.5178350755171861</v>
      </c>
      <c r="I47" s="189">
        <v>6.4368225968473043</v>
      </c>
      <c r="J47" s="189">
        <v>6.853201420147716</v>
      </c>
      <c r="K47" s="189">
        <v>7.2694704395712577</v>
      </c>
      <c r="L47" s="189">
        <v>7.0103849621916643</v>
      </c>
      <c r="M47" s="189">
        <v>7.1543454714355024</v>
      </c>
      <c r="N47" s="189">
        <v>8.7375803667056697</v>
      </c>
      <c r="O47" s="189">
        <v>7.5058783072930106</v>
      </c>
      <c r="P47" s="189">
        <v>6.349098929366666</v>
      </c>
      <c r="Q47" s="189">
        <v>6.5745602251097424</v>
      </c>
      <c r="R47" s="186" t="s">
        <v>131</v>
      </c>
      <c r="S47" s="163"/>
      <c r="T47" s="163"/>
      <c r="U47" s="163"/>
      <c r="V47" s="163"/>
      <c r="W47" s="163"/>
      <c r="X47" s="163"/>
      <c r="Y47" s="163"/>
      <c r="Z47" s="163"/>
      <c r="AA47" s="163"/>
      <c r="AB47" s="163"/>
      <c r="AC47" s="163"/>
      <c r="AD47" s="163"/>
      <c r="AE47" s="163"/>
      <c r="AF47" s="163"/>
      <c r="AG47" s="163"/>
    </row>
    <row r="48" spans="2:33" ht="25.15" customHeight="1">
      <c r="B48" s="317" t="s">
        <v>80</v>
      </c>
      <c r="C48" s="184" t="s">
        <v>58</v>
      </c>
      <c r="D48" s="192">
        <v>1.1484885909648948</v>
      </c>
      <c r="E48" s="192">
        <v>1.1401197091276625</v>
      </c>
      <c r="F48" s="192">
        <v>1.2113469416025944</v>
      </c>
      <c r="G48" s="192">
        <v>1.2480178955453376</v>
      </c>
      <c r="H48" s="192">
        <v>1.3432344134924357</v>
      </c>
      <c r="I48" s="192">
        <v>1.5672852984550421</v>
      </c>
      <c r="J48" s="192">
        <v>1.713433683331143</v>
      </c>
      <c r="K48" s="192">
        <v>1.7213871297809733</v>
      </c>
      <c r="L48" s="192">
        <v>1.622752238577748</v>
      </c>
      <c r="M48" s="192">
        <v>1.6441893057134398</v>
      </c>
      <c r="N48" s="192">
        <v>1.9748344090852994</v>
      </c>
      <c r="O48" s="192">
        <v>1.7174304325479426</v>
      </c>
      <c r="P48" s="192">
        <v>1.5373478084595582</v>
      </c>
      <c r="Q48" s="192">
        <v>1.5845069022998048</v>
      </c>
      <c r="R48" s="37" t="s">
        <v>59</v>
      </c>
      <c r="S48" s="163"/>
      <c r="T48" s="163"/>
      <c r="U48" s="163"/>
      <c r="V48" s="163"/>
      <c r="W48" s="163"/>
      <c r="X48" s="163"/>
      <c r="Y48" s="163"/>
      <c r="Z48" s="163"/>
      <c r="AA48" s="163"/>
      <c r="AB48" s="163"/>
      <c r="AC48" s="163"/>
      <c r="AD48" s="163"/>
      <c r="AE48" s="163"/>
      <c r="AF48" s="163"/>
      <c r="AG48" s="163"/>
    </row>
    <row r="49" spans="2:33" ht="25.15" customHeight="1">
      <c r="B49" s="317" t="s">
        <v>81</v>
      </c>
      <c r="C49" s="184" t="s">
        <v>60</v>
      </c>
      <c r="D49" s="192">
        <v>0.6221652930781103</v>
      </c>
      <c r="E49" s="192">
        <v>0.69643936081794688</v>
      </c>
      <c r="F49" s="192">
        <v>0.87098941197101565</v>
      </c>
      <c r="G49" s="192">
        <v>1.0304687324738484</v>
      </c>
      <c r="H49" s="192">
        <v>1.0749864512132314</v>
      </c>
      <c r="I49" s="192">
        <v>1.2493948764875602</v>
      </c>
      <c r="J49" s="192">
        <v>1.3586058853127343</v>
      </c>
      <c r="K49" s="192">
        <v>1.3078043878781636</v>
      </c>
      <c r="L49" s="192">
        <v>1.2710407922417239</v>
      </c>
      <c r="M49" s="192">
        <v>1.4297111177789437</v>
      </c>
      <c r="N49" s="192">
        <v>1.7928206797950246</v>
      </c>
      <c r="O49" s="192">
        <v>1.7627205350360695</v>
      </c>
      <c r="P49" s="192">
        <v>1.6788845216509469</v>
      </c>
      <c r="Q49" s="192">
        <v>1.7609468375644339</v>
      </c>
      <c r="R49" s="37" t="s">
        <v>132</v>
      </c>
      <c r="S49" s="163"/>
      <c r="T49" s="163"/>
      <c r="U49" s="163"/>
      <c r="V49" s="163"/>
      <c r="W49" s="163"/>
      <c r="X49" s="163"/>
      <c r="Y49" s="163"/>
      <c r="Z49" s="163"/>
      <c r="AA49" s="163"/>
      <c r="AB49" s="163"/>
      <c r="AC49" s="163"/>
      <c r="AD49" s="163"/>
      <c r="AE49" s="163"/>
      <c r="AF49" s="163"/>
      <c r="AG49" s="163"/>
    </row>
    <row r="50" spans="2:33" ht="25.15" customHeight="1">
      <c r="B50" s="317" t="s">
        <v>82</v>
      </c>
      <c r="C50" s="184" t="s">
        <v>61</v>
      </c>
      <c r="D50" s="192">
        <v>0.60326728531161877</v>
      </c>
      <c r="E50" s="192">
        <v>0.46684619997719612</v>
      </c>
      <c r="F50" s="192">
        <v>0.50682854162153101</v>
      </c>
      <c r="G50" s="192">
        <v>0.47415110147337131</v>
      </c>
      <c r="H50" s="192">
        <v>0.49655096922990644</v>
      </c>
      <c r="I50" s="192">
        <v>0.59766815098354176</v>
      </c>
      <c r="J50" s="192">
        <v>0.68115333019113344</v>
      </c>
      <c r="K50" s="192">
        <v>0.67354630817538752</v>
      </c>
      <c r="L50" s="192">
        <v>0.6319377666399032</v>
      </c>
      <c r="M50" s="192">
        <v>0.63493501895870152</v>
      </c>
      <c r="N50" s="192">
        <v>0.61944644466490062</v>
      </c>
      <c r="O50" s="192">
        <v>0.57036052264432835</v>
      </c>
      <c r="P50" s="192">
        <v>0.52861755308801395</v>
      </c>
      <c r="Q50" s="192">
        <v>0.54396319147325667</v>
      </c>
      <c r="R50" s="37" t="s">
        <v>133</v>
      </c>
      <c r="S50" s="163"/>
      <c r="T50" s="163"/>
      <c r="U50" s="163"/>
      <c r="V50" s="163"/>
      <c r="W50" s="163"/>
      <c r="X50" s="163"/>
      <c r="Y50" s="163"/>
      <c r="Z50" s="163"/>
      <c r="AA50" s="163"/>
      <c r="AB50" s="163"/>
      <c r="AC50" s="163"/>
      <c r="AD50" s="163"/>
      <c r="AE50" s="163"/>
      <c r="AF50" s="163"/>
      <c r="AG50" s="163"/>
    </row>
    <row r="51" spans="2:33" ht="25.15" customHeight="1">
      <c r="B51" s="66" t="s">
        <v>83</v>
      </c>
      <c r="C51" s="188" t="s">
        <v>114</v>
      </c>
      <c r="D51" s="191">
        <v>0.42065417965752094</v>
      </c>
      <c r="E51" s="191">
        <v>0.38412759958447062</v>
      </c>
      <c r="F51" s="191">
        <v>0.38497450918297732</v>
      </c>
      <c r="G51" s="191">
        <v>0.45478160388953537</v>
      </c>
      <c r="H51" s="191">
        <v>0.50024020363775357</v>
      </c>
      <c r="I51" s="191">
        <v>0.60485794973172924</v>
      </c>
      <c r="J51" s="191">
        <v>0.65292798756872894</v>
      </c>
      <c r="K51" s="191">
        <v>0.66102404113539792</v>
      </c>
      <c r="L51" s="191">
        <v>0.64685678672352409</v>
      </c>
      <c r="M51" s="191">
        <v>0.70361625174369757</v>
      </c>
      <c r="N51" s="191">
        <v>0.82743081251746819</v>
      </c>
      <c r="O51" s="191">
        <v>0.70220675899376961</v>
      </c>
      <c r="P51" s="191">
        <v>0.61725578148178517</v>
      </c>
      <c r="Q51" s="191">
        <v>0.61523746863420292</v>
      </c>
      <c r="R51" s="186" t="s">
        <v>134</v>
      </c>
      <c r="S51" s="163"/>
      <c r="T51" s="163"/>
      <c r="U51" s="163"/>
      <c r="V51" s="163"/>
      <c r="W51" s="163"/>
      <c r="X51" s="163"/>
      <c r="Y51" s="163"/>
      <c r="Z51" s="163"/>
      <c r="AA51" s="163"/>
      <c r="AB51" s="163"/>
      <c r="AC51" s="163"/>
      <c r="AD51" s="163"/>
      <c r="AE51" s="163"/>
      <c r="AF51" s="163"/>
      <c r="AG51" s="163"/>
    </row>
    <row r="52" spans="2:33" ht="25.15" customHeight="1">
      <c r="B52" s="318"/>
      <c r="C52" s="26" t="s">
        <v>16</v>
      </c>
      <c r="D52" s="189">
        <v>100</v>
      </c>
      <c r="E52" s="189">
        <v>100</v>
      </c>
      <c r="F52" s="189">
        <v>100</v>
      </c>
      <c r="G52" s="189">
        <v>100</v>
      </c>
      <c r="H52" s="189">
        <v>100</v>
      </c>
      <c r="I52" s="189">
        <v>100</v>
      </c>
      <c r="J52" s="189">
        <v>100</v>
      </c>
      <c r="K52" s="189">
        <v>100</v>
      </c>
      <c r="L52" s="189">
        <v>100</v>
      </c>
      <c r="M52" s="189">
        <v>100</v>
      </c>
      <c r="N52" s="189">
        <v>100</v>
      </c>
      <c r="O52" s="189">
        <v>100</v>
      </c>
      <c r="P52" s="189">
        <v>100</v>
      </c>
      <c r="Q52" s="189">
        <v>100</v>
      </c>
      <c r="R52" s="24" t="s">
        <v>20</v>
      </c>
      <c r="S52" s="163"/>
      <c r="T52" s="163"/>
      <c r="U52" s="163"/>
      <c r="V52" s="163"/>
      <c r="W52" s="163"/>
      <c r="X52" s="163"/>
      <c r="Y52" s="163"/>
      <c r="Z52" s="163"/>
      <c r="AA52" s="163"/>
      <c r="AB52" s="163"/>
      <c r="AC52" s="163"/>
      <c r="AD52" s="163"/>
      <c r="AE52" s="163"/>
      <c r="AF52" s="163"/>
      <c r="AG52" s="163"/>
    </row>
    <row r="53" spans="2:33" ht="25.15" customHeight="1" thickBot="1">
      <c r="B53" s="319"/>
      <c r="C53" s="75" t="s">
        <v>175</v>
      </c>
      <c r="D53" s="190">
        <v>70.293957067004627</v>
      </c>
      <c r="E53" s="190">
        <v>62.56345843553045</v>
      </c>
      <c r="F53" s="190">
        <v>62.373668498542358</v>
      </c>
      <c r="G53" s="190">
        <v>64.431989803535927</v>
      </c>
      <c r="H53" s="190">
        <v>67.136955927322433</v>
      </c>
      <c r="I53" s="190">
        <v>79.1246590473786</v>
      </c>
      <c r="J53" s="190">
        <v>81.50179038287871</v>
      </c>
      <c r="K53" s="190">
        <v>79.853917941620693</v>
      </c>
      <c r="L53" s="190">
        <v>74.378613465844737</v>
      </c>
      <c r="M53" s="190">
        <v>77.471335616643813</v>
      </c>
      <c r="N53" s="190">
        <v>82.669232909680318</v>
      </c>
      <c r="O53" s="190">
        <v>75.92759674829901</v>
      </c>
      <c r="P53" s="190">
        <v>70.344389356449597</v>
      </c>
      <c r="Q53" s="190">
        <v>75.572442225814243</v>
      </c>
      <c r="R53" s="48" t="s">
        <v>190</v>
      </c>
      <c r="S53" s="163"/>
      <c r="T53" s="163"/>
      <c r="U53" s="163"/>
      <c r="V53" s="163"/>
      <c r="W53" s="163"/>
      <c r="X53" s="163"/>
      <c r="Y53" s="163"/>
      <c r="Z53" s="163"/>
      <c r="AA53" s="163"/>
      <c r="AB53" s="163"/>
      <c r="AC53" s="163"/>
      <c r="AD53" s="163"/>
      <c r="AE53" s="163"/>
      <c r="AF53" s="163"/>
      <c r="AG53" s="163"/>
    </row>
    <row r="54" spans="2:33" s="22" customFormat="1" ht="24.95" customHeight="1">
      <c r="B54" s="527" t="s">
        <v>326</v>
      </c>
      <c r="C54" s="527"/>
      <c r="D54" s="31"/>
      <c r="E54" s="31"/>
      <c r="F54" s="31"/>
      <c r="G54" s="31"/>
      <c r="H54" s="31"/>
      <c r="I54" s="31"/>
      <c r="J54" s="31"/>
      <c r="K54" s="31"/>
      <c r="L54" s="31"/>
      <c r="M54" s="31"/>
      <c r="N54" s="31"/>
      <c r="O54" s="31"/>
      <c r="P54" s="31"/>
      <c r="Q54" s="31"/>
      <c r="R54" s="313" t="s">
        <v>327</v>
      </c>
      <c r="S54" s="314"/>
      <c r="T54" s="314"/>
      <c r="U54" s="314"/>
      <c r="V54" s="314"/>
      <c r="W54" s="314"/>
      <c r="X54" s="314"/>
      <c r="Y54" s="314"/>
      <c r="Z54" s="314"/>
      <c r="AA54" s="314"/>
      <c r="AB54" s="314"/>
      <c r="AC54" s="314"/>
      <c r="AD54" s="314"/>
      <c r="AE54" s="314"/>
      <c r="AF54" s="314"/>
      <c r="AG54" s="314"/>
    </row>
    <row r="55" spans="2:33" s="22" customFormat="1" ht="24.95" customHeight="1">
      <c r="B55" s="528" t="s">
        <v>191</v>
      </c>
      <c r="C55" s="528"/>
      <c r="D55" s="11"/>
      <c r="E55" s="11"/>
      <c r="F55" s="12"/>
      <c r="G55" s="12"/>
      <c r="N55" s="177"/>
      <c r="O55" s="177"/>
      <c r="P55" s="177"/>
      <c r="Q55" s="177"/>
      <c r="R55" s="313" t="s">
        <v>325</v>
      </c>
    </row>
    <row r="56" spans="2:33" s="100" customFormat="1" ht="24.95" customHeight="1">
      <c r="B56" s="146" t="s">
        <v>192</v>
      </c>
      <c r="C56" s="146"/>
      <c r="D56" s="78"/>
      <c r="E56" s="78"/>
      <c r="F56" s="79"/>
      <c r="G56" s="80"/>
      <c r="H56" s="8"/>
      <c r="I56" s="8"/>
      <c r="J56" s="8"/>
      <c r="R56" s="81" t="s">
        <v>551</v>
      </c>
    </row>
    <row r="57" spans="2:33" ht="25.15" customHeight="1">
      <c r="C57" s="16"/>
      <c r="D57" s="15"/>
      <c r="E57" s="15"/>
      <c r="F57" s="15"/>
      <c r="G57" s="15"/>
      <c r="H57" s="15"/>
      <c r="I57" s="15"/>
      <c r="J57" s="15"/>
      <c r="K57" s="15"/>
      <c r="L57" s="15"/>
      <c r="M57" s="15"/>
      <c r="N57" s="15"/>
      <c r="O57" s="15"/>
      <c r="P57" s="15"/>
      <c r="Q57" s="15"/>
      <c r="R57" s="15"/>
    </row>
    <row r="58" spans="2:33" ht="25.15" customHeight="1">
      <c r="B58" s="507" t="s">
        <v>376</v>
      </c>
      <c r="C58" s="507"/>
      <c r="D58" s="507"/>
      <c r="E58" s="507"/>
      <c r="F58" s="507"/>
      <c r="G58" s="507"/>
      <c r="H58" s="507"/>
      <c r="I58" s="507"/>
      <c r="J58" s="507"/>
      <c r="K58" s="507"/>
      <c r="L58" s="507"/>
      <c r="M58" s="507"/>
      <c r="N58" s="507"/>
      <c r="O58" s="507"/>
      <c r="P58" s="507"/>
      <c r="Q58" s="507"/>
      <c r="R58" s="507"/>
    </row>
    <row r="59" spans="2:33" ht="25.15" customHeight="1">
      <c r="B59" s="529" t="s">
        <v>373</v>
      </c>
      <c r="C59" s="529"/>
      <c r="D59" s="529"/>
      <c r="E59" s="529"/>
      <c r="F59" s="529"/>
      <c r="G59" s="529"/>
      <c r="H59" s="529"/>
      <c r="I59" s="529"/>
      <c r="J59" s="529"/>
      <c r="K59" s="529"/>
      <c r="L59" s="529"/>
      <c r="M59" s="529"/>
      <c r="N59" s="529"/>
      <c r="O59" s="529"/>
      <c r="P59" s="529"/>
      <c r="Q59" s="529"/>
      <c r="R59" s="529"/>
    </row>
    <row r="60" spans="2:33" ht="25.15" customHeight="1">
      <c r="B60" s="179"/>
      <c r="C60" s="179"/>
      <c r="D60" s="179"/>
      <c r="E60" s="179"/>
      <c r="F60" s="179"/>
      <c r="G60" s="179"/>
      <c r="H60" s="179"/>
      <c r="I60" s="179"/>
      <c r="J60" s="179"/>
      <c r="K60" s="179"/>
      <c r="L60" s="179"/>
      <c r="M60" s="179"/>
      <c r="N60" s="179"/>
      <c r="O60" s="179"/>
      <c r="P60" s="179"/>
      <c r="Q60" s="179"/>
      <c r="R60" s="35" t="s">
        <v>203</v>
      </c>
    </row>
    <row r="61" spans="2:33" ht="25.15" customHeight="1">
      <c r="B61" s="49" t="s">
        <v>67</v>
      </c>
      <c r="C61" s="183" t="s">
        <v>117</v>
      </c>
      <c r="D61" s="49">
        <v>2010</v>
      </c>
      <c r="E61" s="49">
        <v>2011</v>
      </c>
      <c r="F61" s="49">
        <v>2012</v>
      </c>
      <c r="G61" s="49">
        <v>2013</v>
      </c>
      <c r="H61" s="49">
        <v>2014</v>
      </c>
      <c r="I61" s="49">
        <v>2015</v>
      </c>
      <c r="J61" s="49">
        <v>2016</v>
      </c>
      <c r="K61" s="49">
        <v>2017</v>
      </c>
      <c r="L61" s="49">
        <v>2018</v>
      </c>
      <c r="M61" s="49">
        <v>2019</v>
      </c>
      <c r="N61" s="49">
        <v>2020</v>
      </c>
      <c r="O61" s="49">
        <v>2021</v>
      </c>
      <c r="P61" s="49" t="s">
        <v>185</v>
      </c>
      <c r="Q61" s="49" t="s">
        <v>186</v>
      </c>
      <c r="R61" s="49" t="s">
        <v>118</v>
      </c>
    </row>
    <row r="62" spans="2:33" ht="25.15" customHeight="1">
      <c r="B62" s="65"/>
      <c r="C62" s="58" t="s">
        <v>102</v>
      </c>
      <c r="D62" s="329" t="s">
        <v>116</v>
      </c>
      <c r="E62" s="134">
        <v>22.199861798980191</v>
      </c>
      <c r="F62" s="134">
        <v>6.1935362640895608</v>
      </c>
      <c r="G62" s="134">
        <v>2.4923050385571743</v>
      </c>
      <c r="H62" s="134">
        <v>2.2970455079770691</v>
      </c>
      <c r="I62" s="134">
        <v>-13.212184847420328</v>
      </c>
      <c r="J62" s="134">
        <v>-1.3750568812504249</v>
      </c>
      <c r="K62" s="134">
        <v>5.6737072802181876</v>
      </c>
      <c r="L62" s="134">
        <v>10.887277601382106</v>
      </c>
      <c r="M62" s="134">
        <v>-2.855387342491722</v>
      </c>
      <c r="N62" s="134">
        <v>-18.123379348022826</v>
      </c>
      <c r="O62" s="134">
        <v>22.112829643581478</v>
      </c>
      <c r="P62" s="134">
        <v>23.504025739389277</v>
      </c>
      <c r="Q62" s="134">
        <v>0.77056708806266805</v>
      </c>
      <c r="R62" s="23" t="s">
        <v>44</v>
      </c>
      <c r="AF62" s="164"/>
      <c r="AG62" s="164"/>
    </row>
    <row r="63" spans="2:33" ht="25.15" customHeight="1">
      <c r="B63" s="317" t="s">
        <v>68</v>
      </c>
      <c r="C63" s="184" t="s">
        <v>45</v>
      </c>
      <c r="D63" s="196" t="s">
        <v>116</v>
      </c>
      <c r="E63" s="321">
        <v>6.5296918623033218</v>
      </c>
      <c r="F63" s="321">
        <v>2.7480377690751512</v>
      </c>
      <c r="G63" s="321">
        <v>4.9246693346538528</v>
      </c>
      <c r="H63" s="321">
        <v>2.7415566433390604</v>
      </c>
      <c r="I63" s="321">
        <v>2.9203115014679426</v>
      </c>
      <c r="J63" s="321">
        <v>3.4715501215325739</v>
      </c>
      <c r="K63" s="321">
        <v>7.2924348928366189</v>
      </c>
      <c r="L63" s="321">
        <v>2.1349910459254939</v>
      </c>
      <c r="M63" s="321">
        <v>2.7277490346513389</v>
      </c>
      <c r="N63" s="321">
        <v>7.9251330395218034</v>
      </c>
      <c r="O63" s="321">
        <v>16.27813094143702</v>
      </c>
      <c r="P63" s="321">
        <v>-9.7251779500987396</v>
      </c>
      <c r="Q63" s="321">
        <v>1.956117819278469</v>
      </c>
      <c r="R63" s="37" t="s">
        <v>123</v>
      </c>
      <c r="AF63" s="164"/>
      <c r="AG63" s="164"/>
    </row>
    <row r="64" spans="2:33" ht="25.15" customHeight="1">
      <c r="B64" s="317" t="s">
        <v>69</v>
      </c>
      <c r="C64" s="184" t="s">
        <v>46</v>
      </c>
      <c r="D64" s="196" t="s">
        <v>116</v>
      </c>
      <c r="E64" s="321">
        <v>51.482338944922958</v>
      </c>
      <c r="F64" s="321">
        <v>7.1299578463726476</v>
      </c>
      <c r="G64" s="321">
        <v>-1.6341903142794711</v>
      </c>
      <c r="H64" s="321">
        <v>-4.3991208379274171</v>
      </c>
      <c r="I64" s="321">
        <v>-43.201107112128511</v>
      </c>
      <c r="J64" s="321">
        <v>-11.631405816784868</v>
      </c>
      <c r="K64" s="321">
        <v>15.179147588992148</v>
      </c>
      <c r="L64" s="321">
        <v>39.075443069094803</v>
      </c>
      <c r="M64" s="321">
        <v>-13.93624892967188</v>
      </c>
      <c r="N64" s="321">
        <v>-35.682317865470679</v>
      </c>
      <c r="O64" s="321">
        <v>65.014906896960142</v>
      </c>
      <c r="P64" s="321">
        <v>49.172488031348216</v>
      </c>
      <c r="Q64" s="321">
        <v>-15.761618174307401</v>
      </c>
      <c r="R64" s="37" t="s">
        <v>124</v>
      </c>
      <c r="AF64" s="164"/>
      <c r="AG64" s="164"/>
    </row>
    <row r="65" spans="2:33" ht="25.15" customHeight="1">
      <c r="B65" s="317" t="s">
        <v>70</v>
      </c>
      <c r="C65" s="184" t="s">
        <v>13</v>
      </c>
      <c r="D65" s="196" t="s">
        <v>116</v>
      </c>
      <c r="E65" s="321">
        <v>15.562362569284982</v>
      </c>
      <c r="F65" s="321">
        <v>5.7621109211932975</v>
      </c>
      <c r="G65" s="321">
        <v>2.0080758817683453</v>
      </c>
      <c r="H65" s="321">
        <v>5.9443737697447707</v>
      </c>
      <c r="I65" s="321">
        <v>1.1016289282444802</v>
      </c>
      <c r="J65" s="321">
        <v>1.3717414997193478</v>
      </c>
      <c r="K65" s="321">
        <v>6.3692963141421366</v>
      </c>
      <c r="L65" s="321">
        <v>4.0443044682270335</v>
      </c>
      <c r="M65" s="321">
        <v>-2.7622721726328847</v>
      </c>
      <c r="N65" s="321">
        <v>-2.9613966693669336</v>
      </c>
      <c r="O65" s="321">
        <v>15.453493578579391</v>
      </c>
      <c r="P65" s="321">
        <v>18.896703589522712</v>
      </c>
      <c r="Q65" s="321">
        <v>12.941481625730544</v>
      </c>
      <c r="R65" s="37" t="s">
        <v>47</v>
      </c>
      <c r="AF65" s="164"/>
      <c r="AG65" s="164"/>
    </row>
    <row r="66" spans="2:33" ht="25.15" customHeight="1">
      <c r="B66" s="317" t="s">
        <v>71</v>
      </c>
      <c r="C66" s="184" t="s">
        <v>48</v>
      </c>
      <c r="D66" s="196" t="s">
        <v>116</v>
      </c>
      <c r="E66" s="321">
        <v>17.439092352612228</v>
      </c>
      <c r="F66" s="321">
        <v>13.072375406165126</v>
      </c>
      <c r="G66" s="321">
        <v>3.0136208370247886</v>
      </c>
      <c r="H66" s="321">
        <v>8.6846433570819226</v>
      </c>
      <c r="I66" s="321">
        <v>19.845519829245962</v>
      </c>
      <c r="J66" s="321">
        <v>3.9631277403604726</v>
      </c>
      <c r="K66" s="321">
        <v>13.173039772446305</v>
      </c>
      <c r="L66" s="321">
        <v>5.2211163571073138</v>
      </c>
      <c r="M66" s="321">
        <v>5.7973632071496528</v>
      </c>
      <c r="N66" s="321">
        <v>-1.0441465757392687</v>
      </c>
      <c r="O66" s="321">
        <v>15.134923006476807</v>
      </c>
      <c r="P66" s="321">
        <v>8.7723144466565159</v>
      </c>
      <c r="Q66" s="321">
        <v>8.6986451655562078</v>
      </c>
      <c r="R66" s="37" t="s">
        <v>125</v>
      </c>
      <c r="AF66" s="164"/>
      <c r="AG66" s="164"/>
    </row>
    <row r="67" spans="2:33" ht="25.15" customHeight="1">
      <c r="B67" s="317" t="s">
        <v>72</v>
      </c>
      <c r="C67" s="184" t="s">
        <v>14</v>
      </c>
      <c r="D67" s="196" t="s">
        <v>116</v>
      </c>
      <c r="E67" s="321">
        <v>-0.9203475885645962</v>
      </c>
      <c r="F67" s="321">
        <v>-2.4832135728034777</v>
      </c>
      <c r="G67" s="321">
        <v>2.5453935072146772</v>
      </c>
      <c r="H67" s="321">
        <v>5.691868706118286</v>
      </c>
      <c r="I67" s="321">
        <v>4.3894878573868423</v>
      </c>
      <c r="J67" s="321">
        <v>-2.7873177352577105</v>
      </c>
      <c r="K67" s="321">
        <v>0.72572206954373275</v>
      </c>
      <c r="L67" s="321">
        <v>3.5757595476963777</v>
      </c>
      <c r="M67" s="321">
        <v>3.0326083153751737</v>
      </c>
      <c r="N67" s="321">
        <v>-10.111131791953266</v>
      </c>
      <c r="O67" s="321">
        <v>2.5414194998844009</v>
      </c>
      <c r="P67" s="321">
        <v>6.9177159770392294</v>
      </c>
      <c r="Q67" s="321">
        <v>10.25365495757451</v>
      </c>
      <c r="R67" s="37" t="s">
        <v>49</v>
      </c>
      <c r="AF67" s="164"/>
      <c r="AG67" s="164"/>
    </row>
    <row r="68" spans="2:33" ht="25.15" customHeight="1">
      <c r="B68" s="317" t="s">
        <v>73</v>
      </c>
      <c r="C68" s="184" t="s">
        <v>50</v>
      </c>
      <c r="D68" s="196" t="s">
        <v>116</v>
      </c>
      <c r="E68" s="321">
        <v>2.2010214395970173</v>
      </c>
      <c r="F68" s="321">
        <v>4.7488773513942872</v>
      </c>
      <c r="G68" s="321">
        <v>8.9606089927551693</v>
      </c>
      <c r="H68" s="321">
        <v>3.1214850091271229</v>
      </c>
      <c r="I68" s="321">
        <v>3.8804061284217761</v>
      </c>
      <c r="J68" s="321">
        <v>5.36712042223777</v>
      </c>
      <c r="K68" s="321">
        <v>1.0370706193874479</v>
      </c>
      <c r="L68" s="321">
        <v>1.2308082447805901</v>
      </c>
      <c r="M68" s="321">
        <v>3.1645689565159785</v>
      </c>
      <c r="N68" s="321">
        <v>-14.682189998952866</v>
      </c>
      <c r="O68" s="321">
        <v>10.820735390756164</v>
      </c>
      <c r="P68" s="321">
        <v>9.1024946630237089</v>
      </c>
      <c r="Q68" s="321">
        <v>6.7563392389236032</v>
      </c>
      <c r="R68" s="37" t="s">
        <v>126</v>
      </c>
      <c r="AF68" s="164"/>
      <c r="AG68" s="164"/>
    </row>
    <row r="69" spans="2:33" ht="25.15" customHeight="1">
      <c r="B69" s="317" t="s">
        <v>74</v>
      </c>
      <c r="C69" s="184" t="s">
        <v>51</v>
      </c>
      <c r="D69" s="196" t="s">
        <v>116</v>
      </c>
      <c r="E69" s="321">
        <v>16.760687445786605</v>
      </c>
      <c r="F69" s="321">
        <v>5.0784106090675962</v>
      </c>
      <c r="G69" s="321">
        <v>4.846485736578976</v>
      </c>
      <c r="H69" s="321">
        <v>7.9423478561410965</v>
      </c>
      <c r="I69" s="321">
        <v>6.1206167492165786</v>
      </c>
      <c r="J69" s="321">
        <v>-11.688663853561099</v>
      </c>
      <c r="K69" s="321">
        <v>2.2720072568290783</v>
      </c>
      <c r="L69" s="321">
        <v>2.433480724913184</v>
      </c>
      <c r="M69" s="321">
        <v>3.3966995042334691</v>
      </c>
      <c r="N69" s="321">
        <v>-25.677297691083833</v>
      </c>
      <c r="O69" s="321">
        <v>9.2917852700948202</v>
      </c>
      <c r="P69" s="321">
        <v>36.117242281090299</v>
      </c>
      <c r="Q69" s="321">
        <v>19.120306623454077</v>
      </c>
      <c r="R69" s="37" t="s">
        <v>127</v>
      </c>
      <c r="AF69" s="164"/>
      <c r="AG69" s="164"/>
    </row>
    <row r="70" spans="2:33" ht="25.15" customHeight="1">
      <c r="B70" s="317" t="s">
        <v>75</v>
      </c>
      <c r="C70" s="184" t="s">
        <v>52</v>
      </c>
      <c r="D70" s="196" t="s">
        <v>116</v>
      </c>
      <c r="E70" s="321">
        <v>16.279376470877228</v>
      </c>
      <c r="F70" s="321">
        <v>10.386686953695445</v>
      </c>
      <c r="G70" s="321">
        <v>16.961040120423544</v>
      </c>
      <c r="H70" s="321">
        <v>11.733041439801761</v>
      </c>
      <c r="I70" s="321">
        <v>1.1975163395150368</v>
      </c>
      <c r="J70" s="321">
        <v>-2.5300328871262323</v>
      </c>
      <c r="K70" s="321">
        <v>1.7442928203269314</v>
      </c>
      <c r="L70" s="321">
        <v>0.77811131850424875</v>
      </c>
      <c r="M70" s="321">
        <v>0.31973987056355124</v>
      </c>
      <c r="N70" s="321">
        <v>-40.124500010924322</v>
      </c>
      <c r="O70" s="321">
        <v>59.444261229877206</v>
      </c>
      <c r="P70" s="321">
        <v>25.781742266793508</v>
      </c>
      <c r="Q70" s="321">
        <v>9.9685272135991099</v>
      </c>
      <c r="R70" s="37" t="s">
        <v>128</v>
      </c>
      <c r="AF70" s="164"/>
      <c r="AG70" s="164"/>
    </row>
    <row r="71" spans="2:33" ht="25.15" customHeight="1">
      <c r="B71" s="317" t="s">
        <v>76</v>
      </c>
      <c r="C71" s="184" t="s">
        <v>53</v>
      </c>
      <c r="D71" s="196" t="s">
        <v>116</v>
      </c>
      <c r="E71" s="321">
        <v>2.9312966521225503</v>
      </c>
      <c r="F71" s="321">
        <v>1.6693209078959104</v>
      </c>
      <c r="G71" s="321">
        <v>1.9423451543090442</v>
      </c>
      <c r="H71" s="321">
        <v>8.8289304812298575</v>
      </c>
      <c r="I71" s="321">
        <v>4.3345961171013636</v>
      </c>
      <c r="J71" s="321">
        <v>5.5825199722706387</v>
      </c>
      <c r="K71" s="321">
        <v>5.4069706021607988</v>
      </c>
      <c r="L71" s="321">
        <v>1.796437817118024</v>
      </c>
      <c r="M71" s="321">
        <v>4.4677781464619537</v>
      </c>
      <c r="N71" s="321">
        <v>-1.9754161483978905</v>
      </c>
      <c r="O71" s="321">
        <v>2.8620844710642412</v>
      </c>
      <c r="P71" s="321">
        <v>6.9905351484442546</v>
      </c>
      <c r="Q71" s="321">
        <v>5.8293378530555939</v>
      </c>
      <c r="R71" s="37" t="s">
        <v>129</v>
      </c>
      <c r="AF71" s="164"/>
      <c r="AG71" s="164"/>
    </row>
    <row r="72" spans="2:33" ht="25.15" customHeight="1">
      <c r="B72" s="317" t="s">
        <v>77</v>
      </c>
      <c r="C72" s="185" t="s">
        <v>54</v>
      </c>
      <c r="D72" s="197" t="s">
        <v>116</v>
      </c>
      <c r="E72" s="134">
        <v>5.6260911052414375</v>
      </c>
      <c r="F72" s="134">
        <v>7.8427007822332362</v>
      </c>
      <c r="G72" s="134">
        <v>19.728704019006059</v>
      </c>
      <c r="H72" s="134">
        <v>14.975082517285831</v>
      </c>
      <c r="I72" s="134">
        <v>8.2992297302365579</v>
      </c>
      <c r="J72" s="134">
        <v>5.0109983760468824</v>
      </c>
      <c r="K72" s="134">
        <v>1.6495339536662046</v>
      </c>
      <c r="L72" s="134">
        <v>-1.6654028543365507</v>
      </c>
      <c r="M72" s="134">
        <v>3.1861264813999979</v>
      </c>
      <c r="N72" s="134">
        <v>-16.121264840360659</v>
      </c>
      <c r="O72" s="134">
        <v>5.7015979589055021</v>
      </c>
      <c r="P72" s="134">
        <v>13.977994170494036</v>
      </c>
      <c r="Q72" s="134">
        <v>17.266927169098789</v>
      </c>
      <c r="R72" s="186" t="s">
        <v>55</v>
      </c>
      <c r="AF72" s="164"/>
      <c r="AG72" s="164"/>
    </row>
    <row r="73" spans="2:33" ht="25.15" customHeight="1">
      <c r="B73" s="317" t="s">
        <v>78</v>
      </c>
      <c r="C73" s="184" t="s">
        <v>56</v>
      </c>
      <c r="D73" s="196" t="s">
        <v>116</v>
      </c>
      <c r="E73" s="321">
        <v>7.7654098751474443</v>
      </c>
      <c r="F73" s="321">
        <v>15.050073127736031</v>
      </c>
      <c r="G73" s="321">
        <v>2.1978027954852708</v>
      </c>
      <c r="H73" s="321">
        <v>13.03033189307925</v>
      </c>
      <c r="I73" s="321">
        <v>9.3700002691603714</v>
      </c>
      <c r="J73" s="321">
        <v>10.093953898689945</v>
      </c>
      <c r="K73" s="321">
        <v>1.2022600662005889</v>
      </c>
      <c r="L73" s="321">
        <v>-8.3369706343149339</v>
      </c>
      <c r="M73" s="321">
        <v>-2.6351333222079609</v>
      </c>
      <c r="N73" s="321">
        <v>-17.193737609299664</v>
      </c>
      <c r="O73" s="321">
        <v>7.0641020298733537</v>
      </c>
      <c r="P73" s="321">
        <v>13.329338285984193</v>
      </c>
      <c r="Q73" s="321">
        <v>10.367480006635743</v>
      </c>
      <c r="R73" s="37" t="s">
        <v>130</v>
      </c>
      <c r="AF73" s="164"/>
      <c r="AG73" s="164"/>
    </row>
    <row r="74" spans="2:33" ht="44.25" customHeight="1">
      <c r="B74" s="317" t="s">
        <v>187</v>
      </c>
      <c r="C74" s="187" t="s">
        <v>188</v>
      </c>
      <c r="D74" s="196" t="s">
        <v>116</v>
      </c>
      <c r="E74" s="321">
        <v>3.6947217858588344</v>
      </c>
      <c r="F74" s="321">
        <v>4.3033840645331889</v>
      </c>
      <c r="G74" s="321">
        <v>9.3783884257281578</v>
      </c>
      <c r="H74" s="321">
        <v>7.8174657233478717</v>
      </c>
      <c r="I74" s="321">
        <v>4.8633720900433275</v>
      </c>
      <c r="J74" s="321">
        <v>5.7089014916641423</v>
      </c>
      <c r="K74" s="321">
        <v>-0.23674847357334494</v>
      </c>
      <c r="L74" s="321">
        <v>4.9818341271007149</v>
      </c>
      <c r="M74" s="321">
        <v>4.5934753026413366</v>
      </c>
      <c r="N74" s="321">
        <v>-13.008253990018915</v>
      </c>
      <c r="O74" s="321">
        <v>7.4677854928037357</v>
      </c>
      <c r="P74" s="321">
        <v>9.7453485044880495</v>
      </c>
      <c r="Q74" s="321">
        <v>1.7863983147982321</v>
      </c>
      <c r="R74" s="37" t="s">
        <v>189</v>
      </c>
      <c r="AF74" s="164"/>
      <c r="AG74" s="164"/>
    </row>
    <row r="75" spans="2:33" ht="44.25" customHeight="1">
      <c r="B75" s="317" t="s">
        <v>79</v>
      </c>
      <c r="C75" s="185" t="s">
        <v>57</v>
      </c>
      <c r="D75" s="197" t="s">
        <v>116</v>
      </c>
      <c r="E75" s="134">
        <v>5.2441687987162755</v>
      </c>
      <c r="F75" s="134">
        <v>12.738672430038434</v>
      </c>
      <c r="G75" s="134">
        <v>13.022159798540311</v>
      </c>
      <c r="H75" s="134">
        <v>7.8885875102359782</v>
      </c>
      <c r="I75" s="134">
        <v>4.3078290823800769</v>
      </c>
      <c r="J75" s="134">
        <v>6.1753700775843079</v>
      </c>
      <c r="K75" s="134">
        <v>12.181756736088211</v>
      </c>
      <c r="L75" s="134">
        <v>5.4575104176066258</v>
      </c>
      <c r="M75" s="134">
        <v>-0.11149928958588129</v>
      </c>
      <c r="N75" s="134">
        <v>2.1102454515262048</v>
      </c>
      <c r="O75" s="134">
        <v>2.0544273528574353</v>
      </c>
      <c r="P75" s="134">
        <v>2.426394963341294</v>
      </c>
      <c r="Q75" s="134">
        <v>5.8989006159849477</v>
      </c>
      <c r="R75" s="186" t="s">
        <v>131</v>
      </c>
      <c r="AF75" s="164"/>
      <c r="AG75" s="164"/>
    </row>
    <row r="76" spans="2:33" ht="25.15" customHeight="1">
      <c r="B76" s="317" t="s">
        <v>80</v>
      </c>
      <c r="C76" s="184" t="s">
        <v>58</v>
      </c>
      <c r="D76" s="196" t="s">
        <v>116</v>
      </c>
      <c r="E76" s="321">
        <v>19.325937011804562</v>
      </c>
      <c r="F76" s="321">
        <v>13.248607748171715</v>
      </c>
      <c r="G76" s="321">
        <v>7.2083826864175471</v>
      </c>
      <c r="H76" s="321">
        <v>11.363959518110711</v>
      </c>
      <c r="I76" s="321">
        <v>4.3302702585726438</v>
      </c>
      <c r="J76" s="321">
        <v>9.0237377972469446</v>
      </c>
      <c r="K76" s="321">
        <v>6.248842975235025</v>
      </c>
      <c r="L76" s="321">
        <v>3.0889432278498274</v>
      </c>
      <c r="M76" s="321">
        <v>-0.82846025347675933</v>
      </c>
      <c r="N76" s="321">
        <v>0.42154783952566</v>
      </c>
      <c r="O76" s="321">
        <v>3.3165708348561695</v>
      </c>
      <c r="P76" s="321">
        <v>8.3912665433673936</v>
      </c>
      <c r="Q76" s="321">
        <v>5.4044241511080671</v>
      </c>
      <c r="R76" s="37" t="s">
        <v>59</v>
      </c>
      <c r="AF76" s="164"/>
      <c r="AG76" s="164"/>
    </row>
    <row r="77" spans="2:33" ht="25.15" customHeight="1">
      <c r="B77" s="317" t="s">
        <v>81</v>
      </c>
      <c r="C77" s="184" t="s">
        <v>60</v>
      </c>
      <c r="D77" s="196" t="s">
        <v>116</v>
      </c>
      <c r="E77" s="321">
        <v>34.551521420650474</v>
      </c>
      <c r="F77" s="321">
        <v>33.304357236504842</v>
      </c>
      <c r="G77" s="321">
        <v>23.11144297336627</v>
      </c>
      <c r="H77" s="321">
        <v>7.9398571097952564</v>
      </c>
      <c r="I77" s="321">
        <v>3.92279354921381</v>
      </c>
      <c r="J77" s="321">
        <v>8.4415203996087484</v>
      </c>
      <c r="K77" s="321">
        <v>1.8033938790735782</v>
      </c>
      <c r="L77" s="321">
        <v>6.2808749402072372</v>
      </c>
      <c r="M77" s="321">
        <v>10.097196303131128</v>
      </c>
      <c r="N77" s="321">
        <v>4.842315296092603</v>
      </c>
      <c r="O77" s="321">
        <v>16.806799759698364</v>
      </c>
      <c r="P77" s="321">
        <v>15.329039064629967</v>
      </c>
      <c r="Q77" s="321">
        <v>7.2660423724510537</v>
      </c>
      <c r="R77" s="37" t="s">
        <v>132</v>
      </c>
      <c r="AF77" s="164"/>
      <c r="AG77" s="164"/>
    </row>
    <row r="78" spans="2:33" ht="33" customHeight="1">
      <c r="B78" s="317" t="s">
        <v>82</v>
      </c>
      <c r="C78" s="184" t="s">
        <v>61</v>
      </c>
      <c r="D78" s="196" t="s">
        <v>116</v>
      </c>
      <c r="E78" s="321">
        <v>-6.9802562272894386</v>
      </c>
      <c r="F78" s="321">
        <v>15.718291649641269</v>
      </c>
      <c r="G78" s="321">
        <v>-2.6508466694120325</v>
      </c>
      <c r="H78" s="321">
        <v>8.3579392180762824</v>
      </c>
      <c r="I78" s="321">
        <v>7.624305481595961</v>
      </c>
      <c r="J78" s="321">
        <v>13.654490097271177</v>
      </c>
      <c r="K78" s="321">
        <v>4.5768446148884756</v>
      </c>
      <c r="L78" s="321">
        <v>2.5995068376004404</v>
      </c>
      <c r="M78" s="321">
        <v>-1.657232977845291</v>
      </c>
      <c r="N78" s="321">
        <v>-18.431490131925955</v>
      </c>
      <c r="O78" s="321">
        <v>9.3873769265640163</v>
      </c>
      <c r="P78" s="321">
        <v>12.225987085942091</v>
      </c>
      <c r="Q78" s="321">
        <v>5.236106249060879</v>
      </c>
      <c r="R78" s="37" t="s">
        <v>133</v>
      </c>
      <c r="AF78" s="164"/>
      <c r="AG78" s="164"/>
    </row>
    <row r="79" spans="2:33" ht="25.15" customHeight="1">
      <c r="B79" s="66" t="s">
        <v>83</v>
      </c>
      <c r="C79" s="188" t="s">
        <v>114</v>
      </c>
      <c r="D79" s="198" t="s">
        <v>116</v>
      </c>
      <c r="E79" s="194">
        <v>9.764370035061031</v>
      </c>
      <c r="F79" s="194">
        <v>6.8245911688658678</v>
      </c>
      <c r="G79" s="194">
        <v>22.927031378429817</v>
      </c>
      <c r="H79" s="194">
        <v>13.812344623218188</v>
      </c>
      <c r="I79" s="194">
        <v>8.1157294848678951</v>
      </c>
      <c r="J79" s="194">
        <v>7.6499218671304936</v>
      </c>
      <c r="K79" s="194">
        <v>7.0692912707625677</v>
      </c>
      <c r="L79" s="194">
        <v>7.0112178289626348</v>
      </c>
      <c r="M79" s="194">
        <v>6.4670392555018941</v>
      </c>
      <c r="N79" s="194">
        <v>-1.6795467498821326</v>
      </c>
      <c r="O79" s="194">
        <v>0.82188908378679759</v>
      </c>
      <c r="P79" s="194">
        <v>6.439168500182757</v>
      </c>
      <c r="Q79" s="194">
        <v>1.9329159033180776</v>
      </c>
      <c r="R79" s="186" t="s">
        <v>134</v>
      </c>
      <c r="AF79" s="164"/>
      <c r="AG79" s="164"/>
    </row>
    <row r="80" spans="2:33" ht="25.15" customHeight="1">
      <c r="B80" s="318"/>
      <c r="C80" s="26" t="s">
        <v>16</v>
      </c>
      <c r="D80" s="330" t="s">
        <v>116</v>
      </c>
      <c r="E80" s="134">
        <v>20.201831585833887</v>
      </c>
      <c r="F80" s="134">
        <v>6.5895865920447383</v>
      </c>
      <c r="G80" s="134">
        <v>4.0582406269146887</v>
      </c>
      <c r="H80" s="134">
        <v>3.4698136090982379</v>
      </c>
      <c r="I80" s="134">
        <v>-10.584237905871575</v>
      </c>
      <c r="J80" s="134">
        <v>-0.27550929193483897</v>
      </c>
      <c r="K80" s="134">
        <v>5.7579339470796631</v>
      </c>
      <c r="L80" s="134">
        <v>9.3549439504531975</v>
      </c>
      <c r="M80" s="134">
        <v>-2.1214664469294209</v>
      </c>
      <c r="N80" s="134">
        <v>-16.391959618824458</v>
      </c>
      <c r="O80" s="134">
        <v>18.801387961126046</v>
      </c>
      <c r="P80" s="134">
        <v>21.088057471213297</v>
      </c>
      <c r="Q80" s="134">
        <v>2.2673111965955117</v>
      </c>
      <c r="R80" s="24" t="s">
        <v>20</v>
      </c>
      <c r="AF80" s="164"/>
      <c r="AG80" s="164"/>
    </row>
    <row r="81" spans="2:33" ht="25.15" customHeight="1" thickBot="1">
      <c r="B81" s="319"/>
      <c r="C81" s="75" t="s">
        <v>175</v>
      </c>
      <c r="D81" s="331" t="s">
        <v>116</v>
      </c>
      <c r="E81" s="195">
        <v>6.9827707540579764</v>
      </c>
      <c r="F81" s="195">
        <v>6.2662408015664584</v>
      </c>
      <c r="G81" s="195">
        <v>7.4921462925327198</v>
      </c>
      <c r="H81" s="195">
        <v>7.8136549447534565</v>
      </c>
      <c r="I81" s="195">
        <v>5.3814786720193242</v>
      </c>
      <c r="J81" s="195">
        <v>2.7204999753781989</v>
      </c>
      <c r="K81" s="195">
        <v>3.6196301874068082</v>
      </c>
      <c r="L81" s="195">
        <v>1.8568570751432478</v>
      </c>
      <c r="M81" s="195">
        <v>1.9484011494370845</v>
      </c>
      <c r="N81" s="195">
        <v>-10.782323444176733</v>
      </c>
      <c r="O81" s="195">
        <v>9.1131919429525929</v>
      </c>
      <c r="P81" s="195">
        <v>12.184051991109502</v>
      </c>
      <c r="Q81" s="195">
        <v>9.8679018710605249</v>
      </c>
      <c r="R81" s="48" t="s">
        <v>190</v>
      </c>
      <c r="AF81" s="164"/>
      <c r="AG81" s="164"/>
    </row>
    <row r="82" spans="2:33" s="22" customFormat="1" ht="24.95" customHeight="1">
      <c r="B82" s="530" t="s">
        <v>115</v>
      </c>
      <c r="C82" s="530"/>
      <c r="D82" s="530"/>
      <c r="E82" s="530"/>
      <c r="F82" s="530"/>
      <c r="G82" s="228"/>
      <c r="H82" s="228"/>
      <c r="I82" s="228"/>
      <c r="J82" s="228"/>
      <c r="K82" s="228"/>
      <c r="L82" s="228"/>
      <c r="M82" s="228"/>
      <c r="N82" s="228"/>
      <c r="O82" s="228"/>
      <c r="P82" s="228"/>
      <c r="Q82" s="228"/>
      <c r="R82" s="328" t="s">
        <v>135</v>
      </c>
      <c r="T82" s="332"/>
      <c r="U82" s="332"/>
      <c r="V82" s="332"/>
      <c r="W82" s="332"/>
      <c r="X82" s="332"/>
      <c r="Y82" s="332"/>
      <c r="Z82" s="332"/>
      <c r="AA82" s="332"/>
      <c r="AB82" s="332"/>
      <c r="AC82" s="332"/>
      <c r="AD82" s="177"/>
      <c r="AE82" s="177"/>
      <c r="AF82" s="177"/>
      <c r="AG82" s="177"/>
    </row>
    <row r="83" spans="2:33" s="22" customFormat="1" ht="24.95" customHeight="1">
      <c r="B83" s="528" t="s">
        <v>326</v>
      </c>
      <c r="C83" s="528"/>
      <c r="D83" s="31"/>
      <c r="E83" s="31"/>
      <c r="F83" s="31"/>
      <c r="G83" s="31"/>
      <c r="H83" s="31"/>
      <c r="I83" s="31"/>
      <c r="J83" s="31"/>
      <c r="K83" s="31"/>
      <c r="L83" s="31"/>
      <c r="M83" s="31"/>
      <c r="N83" s="31"/>
      <c r="O83" s="31"/>
      <c r="P83" s="31"/>
      <c r="Q83" s="31"/>
      <c r="R83" s="313" t="s">
        <v>327</v>
      </c>
    </row>
    <row r="84" spans="2:33" s="100" customFormat="1" ht="24.95" customHeight="1">
      <c r="B84" s="528" t="s">
        <v>191</v>
      </c>
      <c r="C84" s="528"/>
      <c r="D84" s="11"/>
      <c r="E84" s="11"/>
      <c r="F84" s="12"/>
      <c r="G84" s="12"/>
      <c r="H84" s="22"/>
      <c r="I84" s="22"/>
      <c r="J84" s="22"/>
      <c r="K84" s="22"/>
      <c r="L84" s="22"/>
      <c r="M84" s="22"/>
      <c r="N84" s="177"/>
      <c r="O84" s="177"/>
      <c r="P84" s="177"/>
      <c r="Q84" s="177"/>
      <c r="R84" s="313" t="s">
        <v>325</v>
      </c>
    </row>
    <row r="85" spans="2:33" s="22" customFormat="1" ht="24.95" customHeight="1">
      <c r="B85" s="320" t="s">
        <v>192</v>
      </c>
      <c r="C85" s="146"/>
      <c r="D85" s="78"/>
      <c r="E85" s="78"/>
      <c r="F85" s="79"/>
      <c r="G85" s="80"/>
      <c r="H85" s="8"/>
      <c r="I85" s="8"/>
      <c r="J85" s="8"/>
      <c r="K85" s="100"/>
      <c r="L85" s="100"/>
      <c r="M85" s="100"/>
      <c r="N85" s="100"/>
      <c r="O85" s="100"/>
      <c r="P85" s="100"/>
      <c r="Q85" s="100"/>
      <c r="R85" s="81" t="s">
        <v>551</v>
      </c>
    </row>
    <row r="86" spans="2:33" ht="24.95" customHeight="1"/>
    <row r="87" spans="2:33" ht="25.15" customHeight="1">
      <c r="B87" s="507" t="s">
        <v>377</v>
      </c>
      <c r="C87" s="507"/>
      <c r="D87" s="507"/>
      <c r="E87" s="507"/>
      <c r="F87" s="507"/>
      <c r="G87" s="507"/>
      <c r="H87" s="507"/>
      <c r="I87" s="507"/>
      <c r="J87" s="507"/>
      <c r="K87" s="507"/>
      <c r="L87" s="507"/>
      <c r="M87" s="507"/>
      <c r="N87" s="507"/>
      <c r="O87" s="507"/>
      <c r="P87" s="507"/>
      <c r="Q87" s="507"/>
      <c r="R87" s="507"/>
    </row>
    <row r="88" spans="2:33" ht="25.15" customHeight="1">
      <c r="B88" s="529" t="s">
        <v>374</v>
      </c>
      <c r="C88" s="529"/>
      <c r="D88" s="529"/>
      <c r="E88" s="529"/>
      <c r="F88" s="529"/>
      <c r="G88" s="529"/>
      <c r="H88" s="529"/>
      <c r="I88" s="529"/>
      <c r="J88" s="529"/>
      <c r="K88" s="529"/>
      <c r="L88" s="529"/>
      <c r="M88" s="529"/>
      <c r="N88" s="529"/>
      <c r="O88" s="529"/>
      <c r="P88" s="529"/>
      <c r="Q88" s="529"/>
      <c r="R88" s="529"/>
    </row>
    <row r="89" spans="2:33" ht="25.15" customHeight="1">
      <c r="B89" s="178"/>
      <c r="C89" s="178"/>
      <c r="D89" s="178"/>
      <c r="E89" s="178"/>
      <c r="F89" s="178"/>
      <c r="G89" s="178"/>
      <c r="H89" s="178"/>
      <c r="I89" s="178"/>
      <c r="J89" s="178"/>
      <c r="K89" s="178"/>
      <c r="L89" s="178"/>
      <c r="M89" s="178"/>
      <c r="N89" s="178"/>
      <c r="O89" s="178"/>
      <c r="P89" s="178"/>
      <c r="Q89" s="178"/>
      <c r="R89" s="211" t="s">
        <v>378</v>
      </c>
    </row>
    <row r="90" spans="2:33" ht="25.15" customHeight="1">
      <c r="B90" s="49" t="s">
        <v>67</v>
      </c>
      <c r="C90" s="183" t="s">
        <v>117</v>
      </c>
      <c r="D90" s="49">
        <v>2010</v>
      </c>
      <c r="E90" s="49">
        <v>2011</v>
      </c>
      <c r="F90" s="49">
        <v>2012</v>
      </c>
      <c r="G90" s="49">
        <v>2013</v>
      </c>
      <c r="H90" s="49">
        <v>2014</v>
      </c>
      <c r="I90" s="49">
        <v>2015</v>
      </c>
      <c r="J90" s="49">
        <v>2016</v>
      </c>
      <c r="K90" s="49">
        <v>2017</v>
      </c>
      <c r="L90" s="49">
        <v>2018</v>
      </c>
      <c r="M90" s="49">
        <v>2019</v>
      </c>
      <c r="N90" s="49">
        <v>2020</v>
      </c>
      <c r="O90" s="49">
        <v>2021</v>
      </c>
      <c r="P90" s="49" t="s">
        <v>185</v>
      </c>
      <c r="Q90" s="49" t="s">
        <v>186</v>
      </c>
      <c r="R90" s="49" t="s">
        <v>118</v>
      </c>
    </row>
    <row r="91" spans="2:33" ht="25.15" customHeight="1">
      <c r="B91" s="65"/>
      <c r="C91" s="58" t="s">
        <v>102</v>
      </c>
      <c r="D91" s="141">
        <v>264048.77506154834</v>
      </c>
      <c r="E91" s="141">
        <v>322667.23820711212</v>
      </c>
      <c r="F91" s="141">
        <v>342651.75061780587</v>
      </c>
      <c r="G91" s="141">
        <v>351191.67746315774</v>
      </c>
      <c r="H91" s="141">
        <v>359258.71011471451</v>
      </c>
      <c r="I91" s="141">
        <v>311792.78525390045</v>
      </c>
      <c r="J91" s="141">
        <v>307505.45710502437</v>
      </c>
      <c r="K91" s="141">
        <v>324952.41661186033</v>
      </c>
      <c r="L91" s="141">
        <v>360330.88828079333</v>
      </c>
      <c r="M91" s="141">
        <v>350042.04570573557</v>
      </c>
      <c r="N91" s="141">
        <v>286602.59788490564</v>
      </c>
      <c r="O91" s="141">
        <v>349978.54210927367</v>
      </c>
      <c r="P91" s="141">
        <v>432237.58872897673</v>
      </c>
      <c r="Q91" s="141">
        <v>435568.2693299579</v>
      </c>
      <c r="R91" s="140" t="s">
        <v>44</v>
      </c>
      <c r="S91" s="137"/>
      <c r="T91" s="137"/>
      <c r="U91" s="137"/>
      <c r="V91" s="137"/>
      <c r="W91" s="137"/>
      <c r="X91" s="137"/>
      <c r="Y91" s="137"/>
      <c r="Z91" s="137"/>
      <c r="AA91" s="137"/>
      <c r="AB91" s="137"/>
      <c r="AC91" s="137"/>
      <c r="AD91" s="137"/>
      <c r="AE91" s="137"/>
      <c r="AF91" s="137"/>
      <c r="AG91" s="137"/>
    </row>
    <row r="92" spans="2:33" ht="25.15" customHeight="1">
      <c r="B92" s="317" t="s">
        <v>68</v>
      </c>
      <c r="C92" s="184" t="s">
        <v>45</v>
      </c>
      <c r="D92" s="316">
        <v>2206.4668976268977</v>
      </c>
      <c r="E92" s="316">
        <v>2350.542387085658</v>
      </c>
      <c r="F92" s="316">
        <v>2415.1361796608926</v>
      </c>
      <c r="G92" s="316">
        <v>2534.0736504907836</v>
      </c>
      <c r="H92" s="316">
        <v>2603.5467150029185</v>
      </c>
      <c r="I92" s="316">
        <v>2679.578389167239</v>
      </c>
      <c r="J92" s="316">
        <v>2772.6012959929353</v>
      </c>
      <c r="K92" s="316">
        <v>2974.7914403411646</v>
      </c>
      <c r="L92" s="316">
        <v>3038.3029712274065</v>
      </c>
      <c r="M92" s="316">
        <v>3121.1802511948449</v>
      </c>
      <c r="N92" s="316">
        <v>3368.537938505317</v>
      </c>
      <c r="O92" s="316">
        <v>3916.8729549471959</v>
      </c>
      <c r="P92" s="316">
        <v>3535.9500899992904</v>
      </c>
      <c r="Q92" s="316">
        <v>3605.1174397905602</v>
      </c>
      <c r="R92" s="37" t="s">
        <v>123</v>
      </c>
      <c r="S92" s="137"/>
      <c r="T92" s="137"/>
      <c r="U92" s="137"/>
      <c r="V92" s="137"/>
      <c r="W92" s="137"/>
      <c r="X92" s="137"/>
      <c r="Y92" s="137"/>
      <c r="Z92" s="137"/>
      <c r="AA92" s="137"/>
      <c r="AB92" s="137"/>
      <c r="AC92" s="137"/>
      <c r="AD92" s="137"/>
      <c r="AE92" s="137"/>
      <c r="AF92" s="137"/>
      <c r="AG92" s="137"/>
    </row>
    <row r="93" spans="2:33" ht="25.15" customHeight="1">
      <c r="B93" s="317" t="s">
        <v>69</v>
      </c>
      <c r="C93" s="184" t="s">
        <v>46</v>
      </c>
      <c r="D93" s="316">
        <v>89174.288873440208</v>
      </c>
      <c r="E93" s="316">
        <v>135083.29852298941</v>
      </c>
      <c r="F93" s="316">
        <v>144714.68076516828</v>
      </c>
      <c r="G93" s="316">
        <v>142349.76746876346</v>
      </c>
      <c r="H93" s="316">
        <v>136087.62918530384</v>
      </c>
      <c r="I93" s="316">
        <v>77296.266734604476</v>
      </c>
      <c r="J93" s="316">
        <v>68305.624269478139</v>
      </c>
      <c r="K93" s="316">
        <v>78673.835788924669</v>
      </c>
      <c r="L93" s="316">
        <v>109415.98570289905</v>
      </c>
      <c r="M93" s="316">
        <v>94167.501566488849</v>
      </c>
      <c r="N93" s="316">
        <v>60566.354331562216</v>
      </c>
      <c r="O93" s="316">
        <v>99943.513211110389</v>
      </c>
      <c r="P93" s="316">
        <v>149088.22528295257</v>
      </c>
      <c r="Q93" s="316">
        <v>125589.50847100235</v>
      </c>
      <c r="R93" s="37" t="s">
        <v>124</v>
      </c>
      <c r="S93" s="137"/>
      <c r="T93" s="137"/>
      <c r="U93" s="137"/>
      <c r="V93" s="137"/>
      <c r="W93" s="137"/>
      <c r="X93" s="137"/>
      <c r="Y93" s="137"/>
      <c r="Z93" s="137"/>
      <c r="AA93" s="137"/>
      <c r="AB93" s="137"/>
      <c r="AC93" s="137"/>
      <c r="AD93" s="137"/>
      <c r="AE93" s="137"/>
      <c r="AF93" s="137"/>
      <c r="AG93" s="137"/>
    </row>
    <row r="94" spans="2:33" ht="25.15" customHeight="1">
      <c r="B94" s="317" t="s">
        <v>70</v>
      </c>
      <c r="C94" s="184" t="s">
        <v>13</v>
      </c>
      <c r="D94" s="316">
        <v>25442.288286352719</v>
      </c>
      <c r="E94" s="316">
        <v>29401.709435397646</v>
      </c>
      <c r="F94" s="316">
        <v>31095.868545792215</v>
      </c>
      <c r="G94" s="316">
        <v>31720.297182286657</v>
      </c>
      <c r="H94" s="316">
        <v>33605.870207675594</v>
      </c>
      <c r="I94" s="316">
        <v>33976.082195471645</v>
      </c>
      <c r="J94" s="316">
        <v>34442.146214925684</v>
      </c>
      <c r="K94" s="316">
        <v>36635.868564304394</v>
      </c>
      <c r="L94" s="316">
        <v>38117.534633624331</v>
      </c>
      <c r="M94" s="316">
        <v>37064.624581546028</v>
      </c>
      <c r="N94" s="316">
        <v>35966.994023674764</v>
      </c>
      <c r="O94" s="316">
        <v>41525.151135531378</v>
      </c>
      <c r="P94" s="316">
        <v>49372.035860714066</v>
      </c>
      <c r="Q94" s="316">
        <v>55761.508809877472</v>
      </c>
      <c r="R94" s="37" t="s">
        <v>47</v>
      </c>
      <c r="S94" s="137"/>
      <c r="T94" s="137"/>
      <c r="U94" s="137"/>
      <c r="V94" s="137"/>
      <c r="W94" s="137"/>
      <c r="X94" s="137"/>
      <c r="Y94" s="137"/>
      <c r="Z94" s="137"/>
      <c r="AA94" s="137"/>
      <c r="AB94" s="137"/>
      <c r="AC94" s="137"/>
      <c r="AD94" s="137"/>
      <c r="AE94" s="137"/>
      <c r="AF94" s="137"/>
      <c r="AG94" s="137"/>
    </row>
    <row r="95" spans="2:33" ht="25.15" customHeight="1">
      <c r="B95" s="317" t="s">
        <v>71</v>
      </c>
      <c r="C95" s="184" t="s">
        <v>48</v>
      </c>
      <c r="D95" s="316">
        <v>7213.3031272688759</v>
      </c>
      <c r="E95" s="316">
        <v>8471.2377213071613</v>
      </c>
      <c r="F95" s="316">
        <v>9578.6297177851011</v>
      </c>
      <c r="G95" s="316">
        <v>9867.2932988617213</v>
      </c>
      <c r="H95" s="316">
        <v>10724.232530865107</v>
      </c>
      <c r="I95" s="316">
        <v>12852.512224312388</v>
      </c>
      <c r="J95" s="316">
        <v>13361.873701607332</v>
      </c>
      <c r="K95" s="316">
        <v>15122.038638664111</v>
      </c>
      <c r="L95" s="316">
        <v>15911.577871555492</v>
      </c>
      <c r="M95" s="316">
        <v>16834.029832758017</v>
      </c>
      <c r="N95" s="316">
        <v>16658.257886700347</v>
      </c>
      <c r="O95" s="316">
        <v>19179.472392072796</v>
      </c>
      <c r="P95" s="316">
        <v>20861.956019515095</v>
      </c>
      <c r="Q95" s="316">
        <v>22676.663548247107</v>
      </c>
      <c r="R95" s="37" t="s">
        <v>125</v>
      </c>
      <c r="S95" s="137"/>
      <c r="T95" s="137"/>
      <c r="U95" s="137"/>
      <c r="V95" s="137"/>
      <c r="W95" s="137"/>
      <c r="X95" s="137"/>
      <c r="Y95" s="137"/>
      <c r="Z95" s="137"/>
      <c r="AA95" s="137"/>
      <c r="AB95" s="137"/>
      <c r="AC95" s="137"/>
      <c r="AD95" s="137"/>
      <c r="AE95" s="137"/>
      <c r="AF95" s="137"/>
      <c r="AG95" s="137"/>
    </row>
    <row r="96" spans="2:33" ht="25.15" customHeight="1">
      <c r="B96" s="317" t="s">
        <v>72</v>
      </c>
      <c r="C96" s="184" t="s">
        <v>14</v>
      </c>
      <c r="D96" s="316">
        <v>33303.197681398495</v>
      </c>
      <c r="E96" s="316">
        <v>32996.692504622843</v>
      </c>
      <c r="F96" s="316">
        <v>32177.314157771816</v>
      </c>
      <c r="G96" s="316">
        <v>32996.353423139808</v>
      </c>
      <c r="H96" s="316">
        <v>34874.462537791689</v>
      </c>
      <c r="I96" s="316">
        <v>36405.27283621698</v>
      </c>
      <c r="J96" s="316">
        <v>35390.542209884145</v>
      </c>
      <c r="K96" s="316">
        <v>35647.379185232465</v>
      </c>
      <c r="L96" s="316">
        <v>36922.043749951939</v>
      </c>
      <c r="M96" s="316">
        <v>38041.744718919443</v>
      </c>
      <c r="N96" s="316">
        <v>34195.293774431077</v>
      </c>
      <c r="O96" s="316">
        <v>35064.339638457219</v>
      </c>
      <c r="P96" s="316">
        <v>37489.991063870075</v>
      </c>
      <c r="Q96" s="316">
        <v>41334.085391184832</v>
      </c>
      <c r="R96" s="37" t="s">
        <v>49</v>
      </c>
      <c r="S96" s="137"/>
      <c r="T96" s="137"/>
      <c r="U96" s="137"/>
      <c r="V96" s="137"/>
      <c r="W96" s="137"/>
      <c r="X96" s="137"/>
      <c r="Y96" s="137"/>
      <c r="Z96" s="137"/>
      <c r="AA96" s="137"/>
      <c r="AB96" s="137"/>
      <c r="AC96" s="137"/>
      <c r="AD96" s="137"/>
      <c r="AE96" s="137"/>
      <c r="AF96" s="137"/>
      <c r="AG96" s="137"/>
    </row>
    <row r="97" spans="2:33" ht="25.15" customHeight="1">
      <c r="B97" s="317" t="s">
        <v>73</v>
      </c>
      <c r="C97" s="184" t="s">
        <v>50</v>
      </c>
      <c r="D97" s="316">
        <v>40324.095265641103</v>
      </c>
      <c r="E97" s="316">
        <v>41211.637247761384</v>
      </c>
      <c r="F97" s="316">
        <v>43168.727355159092</v>
      </c>
      <c r="G97" s="316">
        <v>47036.908220603436</v>
      </c>
      <c r="H97" s="316">
        <v>48505.158259466451</v>
      </c>
      <c r="I97" s="316">
        <v>50387.355393167476</v>
      </c>
      <c r="J97" s="316">
        <v>53091.705434699688</v>
      </c>
      <c r="K97" s="316">
        <v>53642.303913094693</v>
      </c>
      <c r="L97" s="316">
        <v>54302.53781234732</v>
      </c>
      <c r="M97" s="316">
        <v>56020.979066557222</v>
      </c>
      <c r="N97" s="316">
        <v>47795.872480731676</v>
      </c>
      <c r="O97" s="316">
        <v>52967.737369574897</v>
      </c>
      <c r="P97" s="316">
        <v>57789.122836764873</v>
      </c>
      <c r="Q97" s="316">
        <v>61693.552018814975</v>
      </c>
      <c r="R97" s="37" t="s">
        <v>126</v>
      </c>
      <c r="S97" s="137"/>
      <c r="T97" s="137"/>
      <c r="U97" s="137"/>
      <c r="V97" s="137"/>
      <c r="W97" s="137"/>
      <c r="X97" s="137"/>
      <c r="Y97" s="137"/>
      <c r="Z97" s="137"/>
      <c r="AA97" s="137"/>
      <c r="AB97" s="137"/>
      <c r="AC97" s="137"/>
      <c r="AD97" s="137"/>
      <c r="AE97" s="137"/>
      <c r="AF97" s="137"/>
      <c r="AG97" s="137"/>
    </row>
    <row r="98" spans="2:33" ht="25.15" customHeight="1">
      <c r="B98" s="317" t="s">
        <v>74</v>
      </c>
      <c r="C98" s="184" t="s">
        <v>51</v>
      </c>
      <c r="D98" s="316">
        <v>17115.753797891557</v>
      </c>
      <c r="E98" s="316">
        <v>19984.471795946509</v>
      </c>
      <c r="F98" s="316">
        <v>20999.365331797981</v>
      </c>
      <c r="G98" s="316">
        <v>22017.09657737568</v>
      </c>
      <c r="H98" s="316">
        <v>23765.770975373391</v>
      </c>
      <c r="I98" s="316">
        <v>25220.382734272545</v>
      </c>
      <c r="J98" s="316">
        <v>22272.456973881865</v>
      </c>
      <c r="K98" s="316">
        <v>22778.488812602598</v>
      </c>
      <c r="L98" s="316">
        <v>23332.798947283787</v>
      </c>
      <c r="M98" s="316">
        <v>24125.344013449965</v>
      </c>
      <c r="N98" s="316">
        <v>17930.607612118347</v>
      </c>
      <c r="O98" s="316">
        <v>19596.681169059659</v>
      </c>
      <c r="P98" s="316">
        <v>26674.461985941736</v>
      </c>
      <c r="Q98" s="316">
        <v>31774.700907810493</v>
      </c>
      <c r="R98" s="37" t="s">
        <v>127</v>
      </c>
      <c r="S98" s="137"/>
      <c r="T98" s="137"/>
      <c r="U98" s="137"/>
      <c r="V98" s="137"/>
      <c r="W98" s="137"/>
      <c r="X98" s="137"/>
      <c r="Y98" s="137"/>
      <c r="Z98" s="137"/>
      <c r="AA98" s="137"/>
      <c r="AB98" s="137"/>
      <c r="AC98" s="137"/>
      <c r="AD98" s="137"/>
      <c r="AE98" s="137"/>
      <c r="AF98" s="137"/>
      <c r="AG98" s="137"/>
    </row>
    <row r="99" spans="2:33" ht="25.15" customHeight="1">
      <c r="B99" s="317" t="s">
        <v>75</v>
      </c>
      <c r="C99" s="184" t="s">
        <v>52</v>
      </c>
      <c r="D99" s="316">
        <v>5164.3000311388578</v>
      </c>
      <c r="E99" s="316">
        <v>6005.0158752935822</v>
      </c>
      <c r="F99" s="316">
        <v>6628.7380757800411</v>
      </c>
      <c r="G99" s="316">
        <v>7753.0410002908848</v>
      </c>
      <c r="H99" s="316">
        <v>8662.7085136998357</v>
      </c>
      <c r="I99" s="316">
        <v>8766.4458635959527</v>
      </c>
      <c r="J99" s="316">
        <v>8544.651900214858</v>
      </c>
      <c r="K99" s="316">
        <v>8693.6956498322343</v>
      </c>
      <c r="L99" s="316">
        <v>8761.3422796798914</v>
      </c>
      <c r="M99" s="316">
        <v>8789.355784144569</v>
      </c>
      <c r="N99" s="316">
        <v>5262.670721575304</v>
      </c>
      <c r="O99" s="316">
        <v>8391.0264529767901</v>
      </c>
      <c r="P99" s="316">
        <v>10554.37926662173</v>
      </c>
      <c r="Q99" s="316">
        <v>11606.495436041379</v>
      </c>
      <c r="R99" s="37" t="s">
        <v>128</v>
      </c>
      <c r="S99" s="137"/>
      <c r="T99" s="137"/>
      <c r="U99" s="137"/>
      <c r="V99" s="137"/>
      <c r="W99" s="137"/>
      <c r="X99" s="137"/>
      <c r="Y99" s="137"/>
      <c r="Z99" s="137"/>
      <c r="AA99" s="137"/>
      <c r="AB99" s="137"/>
      <c r="AC99" s="137"/>
      <c r="AD99" s="137"/>
      <c r="AE99" s="137"/>
      <c r="AF99" s="137"/>
      <c r="AG99" s="137"/>
    </row>
    <row r="100" spans="2:33" ht="25.15" customHeight="1">
      <c r="B100" s="317" t="s">
        <v>76</v>
      </c>
      <c r="C100" s="184" t="s">
        <v>53</v>
      </c>
      <c r="D100" s="316">
        <v>8876.1170951514487</v>
      </c>
      <c r="E100" s="316">
        <v>9136.3024184001006</v>
      </c>
      <c r="F100" s="316">
        <v>9288.8166248790531</v>
      </c>
      <c r="G100" s="316">
        <v>9469.2375044850432</v>
      </c>
      <c r="H100" s="316">
        <v>10305.269900858571</v>
      </c>
      <c r="I100" s="316">
        <v>10751.961729838002</v>
      </c>
      <c r="J100" s="316">
        <v>11352.192140817106</v>
      </c>
      <c r="K100" s="316">
        <v>11966.001832571894</v>
      </c>
      <c r="L100" s="316">
        <v>12180.963614689252</v>
      </c>
      <c r="M100" s="316">
        <v>12725.18204509482</v>
      </c>
      <c r="N100" s="316">
        <v>12473.806744062989</v>
      </c>
      <c r="O100" s="316">
        <v>12830.817629835379</v>
      </c>
      <c r="P100" s="316">
        <v>13727.760446081804</v>
      </c>
      <c r="Q100" s="316">
        <v>14527.997982142044</v>
      </c>
      <c r="R100" s="37" t="s">
        <v>129</v>
      </c>
      <c r="S100" s="137"/>
      <c r="T100" s="137"/>
      <c r="U100" s="137"/>
      <c r="V100" s="137"/>
      <c r="W100" s="137"/>
      <c r="X100" s="137"/>
      <c r="Y100" s="137"/>
      <c r="Z100" s="137"/>
      <c r="AA100" s="137"/>
      <c r="AB100" s="137"/>
      <c r="AC100" s="137"/>
      <c r="AD100" s="137"/>
      <c r="AE100" s="137"/>
      <c r="AF100" s="137"/>
      <c r="AG100" s="137"/>
    </row>
    <row r="101" spans="2:33" ht="25.15" customHeight="1">
      <c r="B101" s="317" t="s">
        <v>77</v>
      </c>
      <c r="C101" s="185" t="s">
        <v>54</v>
      </c>
      <c r="D101" s="141">
        <v>19084.342711396326</v>
      </c>
      <c r="E101" s="141">
        <v>20158.045219175987</v>
      </c>
      <c r="F101" s="141">
        <v>21738.980389263234</v>
      </c>
      <c r="G101" s="141">
        <v>26027.79948701075</v>
      </c>
      <c r="H101" s="141">
        <v>29925.483937624311</v>
      </c>
      <c r="I101" s="141">
        <v>32409.068597492787</v>
      </c>
      <c r="J101" s="141">
        <v>34033.086498605073</v>
      </c>
      <c r="K101" s="141">
        <v>34594.473815880156</v>
      </c>
      <c r="L101" s="141">
        <v>34018.336461507773</v>
      </c>
      <c r="M101" s="141">
        <v>35102.203688039626</v>
      </c>
      <c r="N101" s="141">
        <v>29443.284466687914</v>
      </c>
      <c r="O101" s="141">
        <v>31122.022172875331</v>
      </c>
      <c r="P101" s="141">
        <v>35472.256617939711</v>
      </c>
      <c r="Q101" s="141">
        <v>41597.225333395188</v>
      </c>
      <c r="R101" s="186" t="s">
        <v>55</v>
      </c>
      <c r="S101" s="137"/>
      <c r="T101" s="137"/>
      <c r="U101" s="137"/>
      <c r="V101" s="137"/>
      <c r="W101" s="137"/>
      <c r="X101" s="137"/>
      <c r="Y101" s="137"/>
      <c r="Z101" s="137"/>
      <c r="AA101" s="137"/>
      <c r="AB101" s="137"/>
      <c r="AC101" s="137"/>
      <c r="AD101" s="137"/>
      <c r="AE101" s="137"/>
      <c r="AF101" s="137"/>
      <c r="AG101" s="137"/>
    </row>
    <row r="102" spans="2:33" ht="25.15" customHeight="1">
      <c r="B102" s="317" t="s">
        <v>78</v>
      </c>
      <c r="C102" s="184" t="s">
        <v>56</v>
      </c>
      <c r="D102" s="316">
        <v>14097.380320092692</v>
      </c>
      <c r="E102" s="316">
        <v>15192.099683606262</v>
      </c>
      <c r="F102" s="316">
        <v>17478.521795627556</v>
      </c>
      <c r="G102" s="316">
        <v>17862.665236261364</v>
      </c>
      <c r="H102" s="316">
        <v>20190.229801495909</v>
      </c>
      <c r="I102" s="316">
        <v>22082.054388240173</v>
      </c>
      <c r="J102" s="316">
        <v>24311.006778072773</v>
      </c>
      <c r="K102" s="316">
        <v>24603.288304256861</v>
      </c>
      <c r="L102" s="316">
        <v>22552.119383255125</v>
      </c>
      <c r="M102" s="316">
        <v>21957.840970522848</v>
      </c>
      <c r="N102" s="316">
        <v>18182.467409383851</v>
      </c>
      <c r="O102" s="316">
        <v>19466.8954587312</v>
      </c>
      <c r="P102" s="316">
        <v>22061.703808204376</v>
      </c>
      <c r="Q102" s="316">
        <v>24348.946539643162</v>
      </c>
      <c r="R102" s="37" t="s">
        <v>130</v>
      </c>
      <c r="S102" s="137"/>
      <c r="T102" s="137"/>
      <c r="U102" s="137"/>
      <c r="V102" s="137"/>
      <c r="W102" s="137"/>
      <c r="X102" s="137"/>
      <c r="Y102" s="137"/>
      <c r="Z102" s="137"/>
      <c r="AA102" s="137"/>
      <c r="AB102" s="137"/>
      <c r="AC102" s="137"/>
      <c r="AD102" s="137"/>
      <c r="AE102" s="137"/>
      <c r="AF102" s="137"/>
      <c r="AG102" s="137"/>
    </row>
    <row r="103" spans="2:33" ht="36.75" customHeight="1">
      <c r="B103" s="317" t="s">
        <v>187</v>
      </c>
      <c r="C103" s="187" t="s">
        <v>188</v>
      </c>
      <c r="D103" s="316">
        <v>14005.332215556826</v>
      </c>
      <c r="E103" s="316">
        <v>14522.790276106911</v>
      </c>
      <c r="F103" s="316">
        <v>15147.761718574473</v>
      </c>
      <c r="G103" s="316">
        <v>16568.377650346145</v>
      </c>
      <c r="H103" s="316">
        <v>17863.604894076783</v>
      </c>
      <c r="I103" s="316">
        <v>18732.378468770927</v>
      </c>
      <c r="J103" s="316">
        <v>19801.791502598768</v>
      </c>
      <c r="K103" s="316">
        <v>19754.911063476189</v>
      </c>
      <c r="L103" s="316">
        <v>20739.067964614838</v>
      </c>
      <c r="M103" s="316">
        <v>21691.711929567424</v>
      </c>
      <c r="N103" s="316">
        <v>18869.998946986059</v>
      </c>
      <c r="O103" s="316">
        <v>20279.169990841303</v>
      </c>
      <c r="P103" s="316">
        <v>22255.445780266349</v>
      </c>
      <c r="Q103" s="316">
        <v>22653.01668863586</v>
      </c>
      <c r="R103" s="37" t="s">
        <v>189</v>
      </c>
      <c r="S103" s="137"/>
      <c r="T103" s="137"/>
      <c r="U103" s="137"/>
      <c r="V103" s="137"/>
      <c r="W103" s="137"/>
      <c r="X103" s="137"/>
      <c r="Y103" s="137"/>
      <c r="Z103" s="137"/>
      <c r="AA103" s="137"/>
      <c r="AB103" s="137"/>
      <c r="AC103" s="137"/>
      <c r="AD103" s="137"/>
      <c r="AE103" s="137"/>
      <c r="AF103" s="137"/>
      <c r="AG103" s="137"/>
    </row>
    <row r="104" spans="2:33" ht="36.75" customHeight="1">
      <c r="B104" s="317" t="s">
        <v>79</v>
      </c>
      <c r="C104" s="185" t="s">
        <v>57</v>
      </c>
      <c r="D104" s="141">
        <v>15793.177124052099</v>
      </c>
      <c r="E104" s="141">
        <v>16621.397991117636</v>
      </c>
      <c r="F104" s="141">
        <v>18738.743434499102</v>
      </c>
      <c r="G104" s="141">
        <v>21178.932548778055</v>
      </c>
      <c r="H104" s="141">
        <v>22849.651176622261</v>
      </c>
      <c r="I104" s="141">
        <v>23833.975095231199</v>
      </c>
      <c r="J104" s="141">
        <v>25305.811261561001</v>
      </c>
      <c r="K104" s="141">
        <v>28388.503629537976</v>
      </c>
      <c r="L104" s="141">
        <v>29937.809172522648</v>
      </c>
      <c r="M104" s="141">
        <v>29904.428727977705</v>
      </c>
      <c r="N104" s="141">
        <v>30535.485575014754</v>
      </c>
      <c r="O104" s="141">
        <v>31162.814942995694</v>
      </c>
      <c r="P104" s="141">
        <v>31918.947915207911</v>
      </c>
      <c r="Q104" s="141">
        <v>33801.81493039403</v>
      </c>
      <c r="R104" s="186" t="s">
        <v>131</v>
      </c>
      <c r="S104" s="137"/>
      <c r="T104" s="137"/>
      <c r="U104" s="137"/>
      <c r="V104" s="137"/>
      <c r="W104" s="137"/>
      <c r="X104" s="137"/>
      <c r="Y104" s="137"/>
      <c r="Z104" s="137"/>
      <c r="AA104" s="137"/>
      <c r="AB104" s="137"/>
      <c r="AC104" s="137"/>
      <c r="AD104" s="137"/>
      <c r="AE104" s="137"/>
      <c r="AF104" s="137"/>
      <c r="AG104" s="137"/>
    </row>
    <row r="105" spans="2:33" ht="37.700000000000003" customHeight="1">
      <c r="B105" s="317" t="s">
        <v>80</v>
      </c>
      <c r="C105" s="184" t="s">
        <v>58</v>
      </c>
      <c r="D105" s="316">
        <v>3447.6370215165134</v>
      </c>
      <c r="E105" s="316">
        <v>4113.9251806904495</v>
      </c>
      <c r="F105" s="316">
        <v>4658.9629909333917</v>
      </c>
      <c r="G105" s="316">
        <v>4994.7988725384348</v>
      </c>
      <c r="H105" s="316">
        <v>5562.4057944247534</v>
      </c>
      <c r="I105" s="316">
        <v>5803.27299820185</v>
      </c>
      <c r="J105" s="316">
        <v>6326.9451372180165</v>
      </c>
      <c r="K105" s="316">
        <v>6722.3060039720385</v>
      </c>
      <c r="L105" s="316">
        <v>6929.9542200370752</v>
      </c>
      <c r="M105" s="316">
        <v>6872.5423037399323</v>
      </c>
      <c r="N105" s="316">
        <v>6901.5133573418352</v>
      </c>
      <c r="O105" s="316">
        <v>7130.4069365151363</v>
      </c>
      <c r="P105" s="316">
        <v>7728.7383881848782</v>
      </c>
      <c r="Q105" s="316">
        <v>8146.4321922119025</v>
      </c>
      <c r="R105" s="37" t="s">
        <v>59</v>
      </c>
      <c r="S105" s="137"/>
      <c r="T105" s="137"/>
      <c r="U105" s="137"/>
      <c r="V105" s="137"/>
      <c r="W105" s="137"/>
      <c r="X105" s="137"/>
      <c r="Y105" s="137"/>
      <c r="Z105" s="137"/>
      <c r="AA105" s="137"/>
      <c r="AB105" s="137"/>
      <c r="AC105" s="137"/>
      <c r="AD105" s="137"/>
      <c r="AE105" s="137"/>
      <c r="AF105" s="137"/>
      <c r="AG105" s="137"/>
    </row>
    <row r="106" spans="2:33" ht="25.15" customHeight="1">
      <c r="B106" s="317" t="s">
        <v>81</v>
      </c>
      <c r="C106" s="184" t="s">
        <v>60</v>
      </c>
      <c r="D106" s="316">
        <v>1867.6720994822053</v>
      </c>
      <c r="E106" s="316">
        <v>2512.9812250023119</v>
      </c>
      <c r="F106" s="316">
        <v>3349.9134694633781</v>
      </c>
      <c r="G106" s="316">
        <v>4124.1268106155221</v>
      </c>
      <c r="H106" s="316">
        <v>4451.57658640515</v>
      </c>
      <c r="I106" s="316">
        <v>4626.202745574964</v>
      </c>
      <c r="J106" s="316">
        <v>5016.7245940699349</v>
      </c>
      <c r="K106" s="316">
        <v>5107.1958983293707</v>
      </c>
      <c r="L106" s="316">
        <v>5427.9724856548319</v>
      </c>
      <c r="M106" s="316">
        <v>5976.045522811346</v>
      </c>
      <c r="N106" s="316">
        <v>6265.4244892638972</v>
      </c>
      <c r="O106" s="316">
        <v>7318.4418372695854</v>
      </c>
      <c r="P106" s="316">
        <v>8440.2886454268628</v>
      </c>
      <c r="Q106" s="316">
        <v>9053.5635947607534</v>
      </c>
      <c r="R106" s="37" t="s">
        <v>132</v>
      </c>
      <c r="S106" s="137"/>
      <c r="T106" s="137"/>
      <c r="U106" s="137"/>
      <c r="V106" s="137"/>
      <c r="W106" s="137"/>
      <c r="X106" s="137"/>
      <c r="Y106" s="137"/>
      <c r="Z106" s="137"/>
      <c r="AA106" s="137"/>
      <c r="AB106" s="137"/>
      <c r="AC106" s="137"/>
      <c r="AD106" s="137"/>
      <c r="AE106" s="137"/>
      <c r="AF106" s="137"/>
      <c r="AG106" s="137"/>
    </row>
    <row r="107" spans="2:33" ht="38.25" customHeight="1">
      <c r="B107" s="317" t="s">
        <v>82</v>
      </c>
      <c r="C107" s="184" t="s">
        <v>61</v>
      </c>
      <c r="D107" s="316">
        <v>1810.9423489899305</v>
      </c>
      <c r="E107" s="316">
        <v>1684.5339329019391</v>
      </c>
      <c r="F107" s="316">
        <v>1949.3138894126382</v>
      </c>
      <c r="G107" s="316">
        <v>1897.6405670987574</v>
      </c>
      <c r="H107" s="316">
        <v>2056.2442122744296</v>
      </c>
      <c r="I107" s="316">
        <v>2213.0185524658687</v>
      </c>
      <c r="J107" s="316">
        <v>2515.1949515630945</v>
      </c>
      <c r="K107" s="316">
        <v>2630.3115162576573</v>
      </c>
      <c r="L107" s="316">
        <v>2698.6866439729665</v>
      </c>
      <c r="M107" s="316">
        <v>2653.9631189403403</v>
      </c>
      <c r="N107" s="316">
        <v>2164.7981685678974</v>
      </c>
      <c r="O107" s="316">
        <v>2368.0159323507205</v>
      </c>
      <c r="P107" s="316">
        <v>2657.5292544329709</v>
      </c>
      <c r="Q107" s="316">
        <v>2796.6803097949564</v>
      </c>
      <c r="R107" s="37" t="s">
        <v>133</v>
      </c>
      <c r="S107" s="137"/>
      <c r="T107" s="137"/>
      <c r="U107" s="137"/>
      <c r="V107" s="137"/>
      <c r="W107" s="137"/>
      <c r="X107" s="137"/>
      <c r="Y107" s="137"/>
      <c r="Z107" s="137"/>
      <c r="AA107" s="137"/>
      <c r="AB107" s="137"/>
      <c r="AC107" s="137"/>
      <c r="AD107" s="137"/>
      <c r="AE107" s="137"/>
      <c r="AF107" s="137"/>
      <c r="AG107" s="137"/>
    </row>
    <row r="108" spans="2:33" ht="25.15" customHeight="1">
      <c r="B108" s="66" t="s">
        <v>83</v>
      </c>
      <c r="C108" s="188" t="s">
        <v>114</v>
      </c>
      <c r="D108" s="199">
        <v>1262.7577970317489</v>
      </c>
      <c r="E108" s="199">
        <v>1386.0581409805136</v>
      </c>
      <c r="F108" s="199">
        <v>1480.6509424652163</v>
      </c>
      <c r="G108" s="199">
        <v>1820.120248649233</v>
      </c>
      <c r="H108" s="199">
        <v>2071.5215299496413</v>
      </c>
      <c r="I108" s="199">
        <v>2239.6406135411507</v>
      </c>
      <c r="J108" s="199">
        <v>2410.9713705815707</v>
      </c>
      <c r="K108" s="199">
        <v>2581.4099592226785</v>
      </c>
      <c r="L108" s="199">
        <v>2762.3982345223158</v>
      </c>
      <c r="M108" s="199">
        <v>2941.0436127421654</v>
      </c>
      <c r="N108" s="199">
        <v>2891.6474103317382</v>
      </c>
      <c r="O108" s="199">
        <v>2915.4135447388585</v>
      </c>
      <c r="P108" s="199">
        <v>3103.1419353617443</v>
      </c>
      <c r="Q108" s="199">
        <v>3163.1230593328842</v>
      </c>
      <c r="R108" s="186" t="s">
        <v>134</v>
      </c>
      <c r="S108" s="137"/>
      <c r="T108" s="137"/>
      <c r="U108" s="137"/>
      <c r="V108" s="137"/>
      <c r="W108" s="137"/>
      <c r="X108" s="137"/>
      <c r="Y108" s="137"/>
      <c r="Z108" s="137"/>
      <c r="AA108" s="137"/>
      <c r="AB108" s="137"/>
      <c r="AC108" s="137"/>
      <c r="AD108" s="137"/>
      <c r="AE108" s="137"/>
      <c r="AF108" s="137"/>
      <c r="AG108" s="137"/>
    </row>
    <row r="109" spans="2:33" ht="25.15" customHeight="1">
      <c r="B109" s="318"/>
      <c r="C109" s="26" t="s">
        <v>16</v>
      </c>
      <c r="D109" s="141">
        <v>300189.05269402848</v>
      </c>
      <c r="E109" s="141">
        <v>360832.73955838627</v>
      </c>
      <c r="F109" s="141">
        <v>384610.12538403337</v>
      </c>
      <c r="G109" s="141">
        <v>400218.52974759572</v>
      </c>
      <c r="H109" s="141">
        <v>414105.36675891065</v>
      </c>
      <c r="I109" s="141">
        <v>370275.46956016554</v>
      </c>
      <c r="J109" s="141">
        <v>369255.32623577194</v>
      </c>
      <c r="K109" s="141">
        <v>390516.80401650124</v>
      </c>
      <c r="L109" s="141">
        <v>427049.43214934604</v>
      </c>
      <c r="M109" s="141">
        <v>417989.72173449508</v>
      </c>
      <c r="N109" s="141">
        <v>349473.01533693989</v>
      </c>
      <c r="O109" s="141">
        <v>415178.79276988353</v>
      </c>
      <c r="P109" s="141">
        <v>502731.93519748608</v>
      </c>
      <c r="Q109" s="141">
        <v>514130.43265307997</v>
      </c>
      <c r="R109" s="24" t="s">
        <v>20</v>
      </c>
      <c r="S109" s="137"/>
      <c r="T109" s="137"/>
      <c r="U109" s="137"/>
      <c r="V109" s="137"/>
      <c r="W109" s="137"/>
      <c r="X109" s="137"/>
      <c r="Y109" s="137"/>
      <c r="Z109" s="137"/>
      <c r="AA109" s="137"/>
      <c r="AB109" s="137"/>
      <c r="AC109" s="137"/>
      <c r="AD109" s="137"/>
      <c r="AE109" s="137"/>
      <c r="AF109" s="137"/>
      <c r="AG109" s="137"/>
    </row>
    <row r="110" spans="2:33" ht="25.15" customHeight="1" thickBot="1">
      <c r="B110" s="319"/>
      <c r="C110" s="75" t="s">
        <v>175</v>
      </c>
      <c r="D110" s="200">
        <v>211014.76382058827</v>
      </c>
      <c r="E110" s="200">
        <v>225749.44103539683</v>
      </c>
      <c r="F110" s="200">
        <v>239895.44461886509</v>
      </c>
      <c r="G110" s="200">
        <v>257868.76227883229</v>
      </c>
      <c r="H110" s="200">
        <v>278017.73757360684</v>
      </c>
      <c r="I110" s="200">
        <v>292979.20282556111</v>
      </c>
      <c r="J110" s="200">
        <v>300949.7019662938</v>
      </c>
      <c r="K110" s="200">
        <v>311842.96822757652</v>
      </c>
      <c r="L110" s="200">
        <v>317633.44644644699</v>
      </c>
      <c r="M110" s="200">
        <v>323822.2201680062</v>
      </c>
      <c r="N110" s="200">
        <v>288906.66100537771</v>
      </c>
      <c r="O110" s="200">
        <v>315235.27955877315</v>
      </c>
      <c r="P110" s="200">
        <v>353643.70991453348</v>
      </c>
      <c r="Q110" s="201">
        <v>388540.92418207764</v>
      </c>
      <c r="R110" s="48" t="s">
        <v>190</v>
      </c>
      <c r="S110" s="137"/>
      <c r="T110" s="137"/>
      <c r="U110" s="137"/>
      <c r="V110" s="137"/>
      <c r="W110" s="137"/>
      <c r="X110" s="137"/>
      <c r="Y110" s="137"/>
      <c r="Z110" s="137"/>
      <c r="AA110" s="137"/>
      <c r="AB110" s="137"/>
      <c r="AC110" s="137"/>
      <c r="AD110" s="137"/>
      <c r="AE110" s="137"/>
      <c r="AF110" s="137"/>
      <c r="AG110" s="137"/>
    </row>
    <row r="111" spans="2:33" s="22" customFormat="1" ht="24.95" customHeight="1">
      <c r="B111" s="527" t="s">
        <v>326</v>
      </c>
      <c r="C111" s="527"/>
      <c r="D111" s="31"/>
      <c r="E111" s="31"/>
      <c r="F111" s="31"/>
      <c r="G111" s="31"/>
      <c r="H111" s="31"/>
      <c r="I111" s="31"/>
      <c r="J111" s="31"/>
      <c r="K111" s="31"/>
      <c r="L111" s="31"/>
      <c r="M111" s="31"/>
      <c r="N111" s="31"/>
      <c r="O111" s="31"/>
      <c r="P111" s="31"/>
      <c r="Q111" s="31"/>
      <c r="R111" s="313" t="s">
        <v>327</v>
      </c>
      <c r="S111" s="315"/>
      <c r="T111" s="315"/>
      <c r="U111" s="315"/>
      <c r="V111" s="315"/>
      <c r="W111" s="315"/>
      <c r="X111" s="315"/>
      <c r="Y111" s="315"/>
      <c r="Z111" s="315"/>
      <c r="AA111" s="315"/>
      <c r="AB111" s="315"/>
      <c r="AC111" s="315"/>
      <c r="AD111" s="315"/>
      <c r="AE111" s="315"/>
    </row>
    <row r="112" spans="2:33" s="22" customFormat="1" ht="24.95" customHeight="1">
      <c r="B112" s="528" t="s">
        <v>191</v>
      </c>
      <c r="C112" s="528"/>
      <c r="D112" s="11"/>
      <c r="E112" s="11"/>
      <c r="F112" s="11"/>
      <c r="G112" s="11"/>
      <c r="H112" s="11"/>
      <c r="I112" s="11"/>
      <c r="J112" s="11"/>
      <c r="K112" s="11"/>
      <c r="L112" s="11"/>
      <c r="M112" s="11"/>
      <c r="N112" s="11"/>
      <c r="O112" s="11"/>
      <c r="P112" s="11"/>
      <c r="Q112" s="11"/>
      <c r="R112" s="313" t="s">
        <v>325</v>
      </c>
    </row>
    <row r="113" spans="2:18" s="100" customFormat="1" ht="24.95" customHeight="1">
      <c r="B113" s="320" t="s">
        <v>192</v>
      </c>
      <c r="C113" s="146"/>
      <c r="D113" s="78"/>
      <c r="E113" s="78"/>
      <c r="F113" s="78"/>
      <c r="G113" s="78"/>
      <c r="H113" s="78"/>
      <c r="I113" s="78"/>
      <c r="J113" s="78"/>
      <c r="K113" s="78"/>
      <c r="L113" s="78"/>
      <c r="M113" s="78"/>
      <c r="N113" s="78"/>
      <c r="O113" s="78"/>
      <c r="P113" s="78"/>
      <c r="Q113" s="78"/>
      <c r="R113" s="81" t="s">
        <v>551</v>
      </c>
    </row>
    <row r="114" spans="2:18" s="22" customFormat="1" ht="24.95" customHeight="1">
      <c r="B114" s="123"/>
      <c r="H114" s="78"/>
      <c r="I114" s="78"/>
      <c r="P114" s="12"/>
    </row>
  </sheetData>
  <mergeCells count="17">
    <mergeCell ref="B2:R2"/>
    <mergeCell ref="B3:R3"/>
    <mergeCell ref="B82:F82"/>
    <mergeCell ref="B30:R30"/>
    <mergeCell ref="B31:R31"/>
    <mergeCell ref="B58:R58"/>
    <mergeCell ref="B59:R59"/>
    <mergeCell ref="B26:C26"/>
    <mergeCell ref="B111:C111"/>
    <mergeCell ref="B112:C112"/>
    <mergeCell ref="B27:C27"/>
    <mergeCell ref="B54:C54"/>
    <mergeCell ref="B55:C55"/>
    <mergeCell ref="B83:C83"/>
    <mergeCell ref="B84:C84"/>
    <mergeCell ref="B87:R87"/>
    <mergeCell ref="B88:R88"/>
  </mergeCells>
  <phoneticPr fontId="5" type="noConversion"/>
  <conditionalFormatting sqref="S33:AF53">
    <cfRule type="containsText" dxfId="31" priority="3" operator="containsText" text="true">
      <formula>NOT(ISERROR(SEARCH("true",S33)))</formula>
    </cfRule>
  </conditionalFormatting>
  <conditionalFormatting sqref="S62:AE81">
    <cfRule type="containsText" dxfId="30" priority="2" operator="containsText" text="true">
      <formula>NOT(ISERROR(SEARCH("true",S62)))</formula>
    </cfRule>
  </conditionalFormatting>
  <conditionalFormatting sqref="S91:AF110">
    <cfRule type="containsText" dxfId="29" priority="1" operator="containsText" text="true">
      <formula>NOT(ISERROR(SEARCH("true",S91)))</formula>
    </cfRule>
  </conditionalFormatting>
  <printOptions horizontalCentered="1" verticalCentered="1"/>
  <pageMargins left="0" right="0" top="0" bottom="0" header="0" footer="0"/>
  <pageSetup scale="48" orientation="landscape" horizontalDpi="300" verticalDpi="300" r:id="rId1"/>
  <headerFooter alignWithMargins="0"/>
  <rowBreaks count="3" manualBreakCount="3">
    <brk id="28" max="26" man="1"/>
    <brk id="56" max="26" man="1"/>
    <brk id="85" max="26" man="1"/>
  </rowBreaks>
  <colBreaks count="1" manualBreakCount="1">
    <brk id="23" max="113"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B1:AF115"/>
  <sheetViews>
    <sheetView showGridLines="0" rightToLeft="1" zoomScaleNormal="100" zoomScaleSheetLayoutView="70" workbookViewId="0"/>
  </sheetViews>
  <sheetFormatPr defaultColWidth="9.28515625" defaultRowHeight="25.15" customHeight="1"/>
  <cols>
    <col min="1" max="1" width="15.7109375" style="1" customWidth="1"/>
    <col min="2" max="2" width="6.28515625" style="1" customWidth="1"/>
    <col min="3" max="3" width="27.28515625" style="1" customWidth="1"/>
    <col min="4" max="12" width="10.5703125" style="8" customWidth="1"/>
    <col min="13" max="17" width="12.5703125" style="8" customWidth="1"/>
    <col min="18" max="18" width="37.28515625" style="8" customWidth="1"/>
    <col min="19" max="19" width="9.28515625" style="2"/>
    <col min="20" max="16384" width="9.28515625" style="1"/>
  </cols>
  <sheetData>
    <row r="1" spans="2:26" ht="50.1" customHeight="1"/>
    <row r="3" spans="2:26" ht="25.15" customHeight="1">
      <c r="B3" s="507" t="s">
        <v>383</v>
      </c>
      <c r="C3" s="507"/>
      <c r="D3" s="507"/>
      <c r="E3" s="507"/>
      <c r="F3" s="507"/>
      <c r="G3" s="507"/>
      <c r="H3" s="507"/>
      <c r="I3" s="507"/>
      <c r="J3" s="507"/>
      <c r="K3" s="507"/>
      <c r="L3" s="507"/>
      <c r="M3" s="507"/>
      <c r="N3" s="507"/>
      <c r="O3" s="507"/>
      <c r="P3" s="507"/>
      <c r="Q3" s="507"/>
      <c r="R3" s="507"/>
    </row>
    <row r="4" spans="2:26" ht="25.15" customHeight="1">
      <c r="B4" s="529" t="s">
        <v>379</v>
      </c>
      <c r="C4" s="529"/>
      <c r="D4" s="529"/>
      <c r="E4" s="529"/>
      <c r="F4" s="529"/>
      <c r="G4" s="529"/>
      <c r="H4" s="529"/>
      <c r="I4" s="529"/>
      <c r="J4" s="529"/>
      <c r="K4" s="529"/>
      <c r="L4" s="529"/>
      <c r="M4" s="529"/>
      <c r="N4" s="529"/>
      <c r="O4" s="529"/>
      <c r="P4" s="529"/>
      <c r="Q4" s="529"/>
      <c r="R4" s="529"/>
    </row>
    <row r="5" spans="2:26" ht="25.15" customHeight="1">
      <c r="B5" s="179"/>
      <c r="C5" s="179"/>
      <c r="D5" s="179"/>
      <c r="E5" s="179"/>
      <c r="F5" s="179"/>
      <c r="G5" s="179"/>
      <c r="H5" s="179"/>
      <c r="I5" s="179"/>
      <c r="J5" s="179"/>
      <c r="K5" s="179"/>
      <c r="L5" s="179"/>
      <c r="M5" s="179"/>
      <c r="N5" s="179"/>
      <c r="O5" s="179"/>
      <c r="P5" s="179"/>
      <c r="Q5" s="179"/>
      <c r="R5" s="211" t="s">
        <v>387</v>
      </c>
    </row>
    <row r="6" spans="2:26" s="30" customFormat="1" ht="25.15" customHeight="1">
      <c r="B6" s="3" t="s">
        <v>67</v>
      </c>
      <c r="C6" s="88" t="s">
        <v>117</v>
      </c>
      <c r="D6" s="49">
        <v>2010</v>
      </c>
      <c r="E6" s="50">
        <v>2011</v>
      </c>
      <c r="F6" s="50">
        <v>2012</v>
      </c>
      <c r="G6" s="43">
        <v>2013</v>
      </c>
      <c r="H6" s="43">
        <v>2014</v>
      </c>
      <c r="I6" s="43">
        <v>2015</v>
      </c>
      <c r="J6" s="43">
        <v>2016</v>
      </c>
      <c r="K6" s="50">
        <v>2017</v>
      </c>
      <c r="L6" s="3">
        <v>2018</v>
      </c>
      <c r="M6" s="50">
        <v>2019</v>
      </c>
      <c r="N6" s="50">
        <v>2020</v>
      </c>
      <c r="O6" s="50">
        <v>2021</v>
      </c>
      <c r="P6" s="50" t="s">
        <v>185</v>
      </c>
      <c r="Q6" s="50" t="s">
        <v>186</v>
      </c>
      <c r="R6" s="3" t="s">
        <v>118</v>
      </c>
      <c r="S6" s="2"/>
    </row>
    <row r="7" spans="2:26" ht="26.25" customHeight="1">
      <c r="B7" s="120"/>
      <c r="C7" s="58" t="s">
        <v>102</v>
      </c>
      <c r="D7" s="57">
        <v>969719.12641353614</v>
      </c>
      <c r="E7" s="57">
        <v>1034909.4539160648</v>
      </c>
      <c r="F7" s="57">
        <v>1041521.3323896838</v>
      </c>
      <c r="G7" s="57">
        <v>1078176.901659525</v>
      </c>
      <c r="H7" s="57">
        <v>1115851.6014717799</v>
      </c>
      <c r="I7" s="57">
        <v>1194254.4178615441</v>
      </c>
      <c r="J7" s="57">
        <v>1251398.2362527957</v>
      </c>
      <c r="K7" s="57">
        <v>1266859.0153485662</v>
      </c>
      <c r="L7" s="57">
        <v>1293807.5763986374</v>
      </c>
      <c r="M7" s="57">
        <v>1306652.9881558628</v>
      </c>
      <c r="N7" s="57">
        <v>1224017.0774308541</v>
      </c>
      <c r="O7" s="57">
        <v>1282641.1722917387</v>
      </c>
      <c r="P7" s="57">
        <v>1388435.0797120009</v>
      </c>
      <c r="Q7" s="57">
        <v>1424677.8724688597</v>
      </c>
      <c r="R7" s="23" t="s">
        <v>44</v>
      </c>
      <c r="T7" s="170"/>
      <c r="U7" s="170"/>
      <c r="V7" s="170"/>
      <c r="W7" s="170"/>
      <c r="X7" s="170"/>
      <c r="Y7" s="170"/>
      <c r="Z7" s="170"/>
    </row>
    <row r="8" spans="2:26" ht="25.15" customHeight="1">
      <c r="B8" s="121" t="s">
        <v>68</v>
      </c>
      <c r="C8" s="184" t="s">
        <v>45</v>
      </c>
      <c r="D8" s="251">
        <v>8103.2496815347813</v>
      </c>
      <c r="E8" s="251">
        <v>8537.4964794683565</v>
      </c>
      <c r="F8" s="251">
        <v>8863.7329615981689</v>
      </c>
      <c r="G8" s="251">
        <v>8797.7062846486588</v>
      </c>
      <c r="H8" s="251">
        <v>8783.0905158563255</v>
      </c>
      <c r="I8" s="251">
        <v>8818.1831765934694</v>
      </c>
      <c r="J8" s="251">
        <v>9172.2521545602121</v>
      </c>
      <c r="K8" s="251">
        <v>9573.4085936924421</v>
      </c>
      <c r="L8" s="251">
        <v>10042.899625982849</v>
      </c>
      <c r="M8" s="251">
        <v>11043.225385546903</v>
      </c>
      <c r="N8" s="251">
        <v>10703.421692301239</v>
      </c>
      <c r="O8" s="251">
        <v>13617.806343543803</v>
      </c>
      <c r="P8" s="251">
        <v>12835.261661949669</v>
      </c>
      <c r="Q8" s="252">
        <v>12954.327474086702</v>
      </c>
      <c r="R8" s="37" t="s">
        <v>123</v>
      </c>
    </row>
    <row r="9" spans="2:26" ht="28.5" customHeight="1">
      <c r="B9" s="121" t="s">
        <v>69</v>
      </c>
      <c r="C9" s="184" t="s">
        <v>46</v>
      </c>
      <c r="D9" s="251">
        <v>327492.57588770916</v>
      </c>
      <c r="E9" s="251">
        <v>363886.91770192108</v>
      </c>
      <c r="F9" s="251">
        <v>388653.67409710377</v>
      </c>
      <c r="G9" s="251">
        <v>401113.97930810141</v>
      </c>
      <c r="H9" s="251">
        <v>399570.67692714289</v>
      </c>
      <c r="I9" s="251">
        <v>437018.73412706831</v>
      </c>
      <c r="J9" s="251">
        <v>454662.04369968676</v>
      </c>
      <c r="K9" s="251">
        <v>423193.31154515973</v>
      </c>
      <c r="L9" s="251">
        <v>442041.87412770936</v>
      </c>
      <c r="M9" s="251">
        <v>430344.40483092598</v>
      </c>
      <c r="N9" s="251">
        <v>414175.34173276095</v>
      </c>
      <c r="O9" s="251">
        <v>409816.73605053849</v>
      </c>
      <c r="P9" s="251">
        <v>444641.93578671524</v>
      </c>
      <c r="Q9" s="252">
        <v>430878.59506951168</v>
      </c>
      <c r="R9" s="37" t="s">
        <v>124</v>
      </c>
    </row>
    <row r="10" spans="2:26" ht="25.15" customHeight="1">
      <c r="B10" s="121" t="s">
        <v>70</v>
      </c>
      <c r="C10" s="184" t="s">
        <v>13</v>
      </c>
      <c r="D10" s="251">
        <v>93436.803731630353</v>
      </c>
      <c r="E10" s="251">
        <v>99832.264473164993</v>
      </c>
      <c r="F10" s="251">
        <v>93855.837279413012</v>
      </c>
      <c r="G10" s="251">
        <v>99472.771910945361</v>
      </c>
      <c r="H10" s="251">
        <v>101583.08688101848</v>
      </c>
      <c r="I10" s="251">
        <v>119070.4643125588</v>
      </c>
      <c r="J10" s="251">
        <v>133289.27948449913</v>
      </c>
      <c r="K10" s="251">
        <v>137985.73087058237</v>
      </c>
      <c r="L10" s="251">
        <v>139105.86860115023</v>
      </c>
      <c r="M10" s="251">
        <v>144632.53987552674</v>
      </c>
      <c r="N10" s="251">
        <v>148128.46313404449</v>
      </c>
      <c r="O10" s="251">
        <v>164764.02408973454</v>
      </c>
      <c r="P10" s="251">
        <v>181570.9887168745</v>
      </c>
      <c r="Q10" s="252">
        <v>188401.90522649745</v>
      </c>
      <c r="R10" s="37" t="s">
        <v>47</v>
      </c>
    </row>
    <row r="11" spans="2:26" ht="25.15" customHeight="1">
      <c r="B11" s="121" t="s">
        <v>71</v>
      </c>
      <c r="C11" s="184" t="s">
        <v>48</v>
      </c>
      <c r="D11" s="251">
        <v>26490.855734894947</v>
      </c>
      <c r="E11" s="251">
        <v>28697.561058466064</v>
      </c>
      <c r="F11" s="251">
        <v>30437.042789321928</v>
      </c>
      <c r="G11" s="251">
        <v>31599.195642278701</v>
      </c>
      <c r="H11" s="251">
        <v>34481.358770207786</v>
      </c>
      <c r="I11" s="251">
        <v>24557.533476307086</v>
      </c>
      <c r="J11" s="251">
        <v>28501.92473077558</v>
      </c>
      <c r="K11" s="251">
        <v>31842.714990382461</v>
      </c>
      <c r="L11" s="251">
        <v>32545.067392697343</v>
      </c>
      <c r="M11" s="251">
        <v>34976.913172994886</v>
      </c>
      <c r="N11" s="251">
        <v>34654.675604445474</v>
      </c>
      <c r="O11" s="251">
        <v>38678.778102741519</v>
      </c>
      <c r="P11" s="251">
        <v>42603.097040982335</v>
      </c>
      <c r="Q11" s="252">
        <v>44385.134457683147</v>
      </c>
      <c r="R11" s="37" t="s">
        <v>125</v>
      </c>
    </row>
    <row r="12" spans="2:26" ht="25.15" customHeight="1">
      <c r="B12" s="121" t="s">
        <v>72</v>
      </c>
      <c r="C12" s="184" t="s">
        <v>14</v>
      </c>
      <c r="D12" s="251">
        <v>122305.99348493596</v>
      </c>
      <c r="E12" s="251">
        <v>121633.21646097058</v>
      </c>
      <c r="F12" s="251">
        <v>115568.17703766288</v>
      </c>
      <c r="G12" s="251">
        <v>115292.39140910843</v>
      </c>
      <c r="H12" s="251">
        <v>119316.65833167025</v>
      </c>
      <c r="I12" s="251">
        <v>126762.29436391218</v>
      </c>
      <c r="J12" s="251">
        <v>126488.70986668729</v>
      </c>
      <c r="K12" s="251">
        <v>128375.32646362034</v>
      </c>
      <c r="L12" s="251">
        <v>131395.05801522365</v>
      </c>
      <c r="M12" s="251">
        <v>128863.07018665649</v>
      </c>
      <c r="N12" s="251">
        <v>121246.05222798792</v>
      </c>
      <c r="O12" s="251">
        <v>123811.94856636929</v>
      </c>
      <c r="P12" s="251">
        <v>130054.08890953052</v>
      </c>
      <c r="Q12" s="252">
        <v>141589.01636147237</v>
      </c>
      <c r="R12" s="37" t="s">
        <v>49</v>
      </c>
    </row>
    <row r="13" spans="2:26" ht="25.15" customHeight="1">
      <c r="B13" s="121" t="s">
        <v>73</v>
      </c>
      <c r="C13" s="184" t="s">
        <v>50</v>
      </c>
      <c r="D13" s="251">
        <v>148090.23986306693</v>
      </c>
      <c r="E13" s="251">
        <v>154756.45834152467</v>
      </c>
      <c r="F13" s="251">
        <v>135572.00959060268</v>
      </c>
      <c r="G13" s="251">
        <v>144856.94717674793</v>
      </c>
      <c r="H13" s="251">
        <v>151042.24738461358</v>
      </c>
      <c r="I13" s="251">
        <v>169034.07765329906</v>
      </c>
      <c r="J13" s="251">
        <v>170998.97233530373</v>
      </c>
      <c r="K13" s="251">
        <v>187858.33319478238</v>
      </c>
      <c r="L13" s="251">
        <v>190574.0613051345</v>
      </c>
      <c r="M13" s="251">
        <v>197035.44891436998</v>
      </c>
      <c r="N13" s="251">
        <v>184132.3021886748</v>
      </c>
      <c r="O13" s="251">
        <v>197635.36733049521</v>
      </c>
      <c r="P13" s="251">
        <v>203352.58084264238</v>
      </c>
      <c r="Q13" s="252">
        <v>211268.47244179313</v>
      </c>
      <c r="R13" s="37" t="s">
        <v>126</v>
      </c>
    </row>
    <row r="14" spans="2:26" ht="25.15" customHeight="1">
      <c r="B14" s="121" t="s">
        <v>74</v>
      </c>
      <c r="C14" s="184" t="s">
        <v>51</v>
      </c>
      <c r="D14" s="251">
        <v>62857.605822756741</v>
      </c>
      <c r="E14" s="251">
        <v>66263.924672179332</v>
      </c>
      <c r="F14" s="251">
        <v>68744.183752909157</v>
      </c>
      <c r="G14" s="251">
        <v>70169.17640653238</v>
      </c>
      <c r="H14" s="251">
        <v>78435.872099361324</v>
      </c>
      <c r="I14" s="251">
        <v>75037.355636236141</v>
      </c>
      <c r="J14" s="251">
        <v>77326.036265692615</v>
      </c>
      <c r="K14" s="251">
        <v>81636.392637956218</v>
      </c>
      <c r="L14" s="251">
        <v>83312.015252669473</v>
      </c>
      <c r="M14" s="251">
        <v>86400.929507024674</v>
      </c>
      <c r="N14" s="251">
        <v>57877.976597730383</v>
      </c>
      <c r="O14" s="251">
        <v>64842.798897388937</v>
      </c>
      <c r="P14" s="251">
        <v>77366.052120359192</v>
      </c>
      <c r="Q14" s="252">
        <v>86276.488342614088</v>
      </c>
      <c r="R14" s="37" t="s">
        <v>127</v>
      </c>
    </row>
    <row r="15" spans="2:26" ht="25.15" customHeight="1">
      <c r="B15" s="121" t="s">
        <v>75</v>
      </c>
      <c r="C15" s="184" t="s">
        <v>52</v>
      </c>
      <c r="D15" s="251">
        <v>18965.891864357454</v>
      </c>
      <c r="E15" s="251">
        <v>21881.095977170018</v>
      </c>
      <c r="F15" s="251">
        <v>22423.592605780654</v>
      </c>
      <c r="G15" s="251">
        <v>22990.84523489861</v>
      </c>
      <c r="H15" s="251">
        <v>24685.845412027782</v>
      </c>
      <c r="I15" s="251">
        <v>27319.056455710612</v>
      </c>
      <c r="J15" s="251">
        <v>29200.135031759175</v>
      </c>
      <c r="K15" s="251">
        <v>31307.708677907696</v>
      </c>
      <c r="L15" s="251">
        <v>31209.169598122942</v>
      </c>
      <c r="M15" s="251">
        <v>35051.7683054238</v>
      </c>
      <c r="N15" s="251">
        <v>24488.339444955658</v>
      </c>
      <c r="O15" s="251">
        <v>27241.483829792734</v>
      </c>
      <c r="P15" s="251">
        <v>30573.87810964157</v>
      </c>
      <c r="Q15" s="252">
        <v>32252.894386002114</v>
      </c>
      <c r="R15" s="37" t="s">
        <v>128</v>
      </c>
    </row>
    <row r="16" spans="2:26" ht="25.15" customHeight="1">
      <c r="B16" s="121" t="s">
        <v>76</v>
      </c>
      <c r="C16" s="184" t="s">
        <v>53</v>
      </c>
      <c r="D16" s="251">
        <v>32597.540031943696</v>
      </c>
      <c r="E16" s="251">
        <v>32737.595360547693</v>
      </c>
      <c r="F16" s="251">
        <v>31101.457684317611</v>
      </c>
      <c r="G16" s="251">
        <v>32864.607480335821</v>
      </c>
      <c r="H16" s="251">
        <v>35115.444250201166</v>
      </c>
      <c r="I16" s="251">
        <v>37276.663565356539</v>
      </c>
      <c r="J16" s="251">
        <v>40184.405526353992</v>
      </c>
      <c r="K16" s="251">
        <v>42848.270077513153</v>
      </c>
      <c r="L16" s="251">
        <v>42483.710254049023</v>
      </c>
      <c r="M16" s="251">
        <v>42401.319148641502</v>
      </c>
      <c r="N16" s="251">
        <v>43920.959628133278</v>
      </c>
      <c r="O16" s="251">
        <v>45443.117689629507</v>
      </c>
      <c r="P16" s="251">
        <v>48280.255852228445</v>
      </c>
      <c r="Q16" s="252">
        <v>50870.425665293544</v>
      </c>
      <c r="R16" s="37" t="s">
        <v>129</v>
      </c>
    </row>
    <row r="17" spans="2:19" ht="25.15" customHeight="1">
      <c r="B17" s="121" t="s">
        <v>77</v>
      </c>
      <c r="C17" s="185" t="s">
        <v>54</v>
      </c>
      <c r="D17" s="225">
        <v>70087.248607603004</v>
      </c>
      <c r="E17" s="225">
        <v>71479.082912801503</v>
      </c>
      <c r="F17" s="225">
        <v>82217.816648128995</v>
      </c>
      <c r="G17" s="225">
        <v>97349.671005398006</v>
      </c>
      <c r="H17" s="225">
        <v>108050.22344941139</v>
      </c>
      <c r="I17" s="225">
        <v>117550.12034830502</v>
      </c>
      <c r="J17" s="225">
        <v>125603.21399324996</v>
      </c>
      <c r="K17" s="225">
        <v>124457.11793820132</v>
      </c>
      <c r="L17" s="225">
        <v>118250.15786937383</v>
      </c>
      <c r="M17" s="225">
        <v>121514.39133850127</v>
      </c>
      <c r="N17" s="225">
        <v>118531.51439179947</v>
      </c>
      <c r="O17" s="225">
        <v>123328.8448918088</v>
      </c>
      <c r="P17" s="225">
        <v>131426.98862580908</v>
      </c>
      <c r="Q17" s="252">
        <v>150279.34597379458</v>
      </c>
      <c r="R17" s="186" t="s">
        <v>55</v>
      </c>
    </row>
    <row r="18" spans="2:19" ht="25.15" customHeight="1">
      <c r="B18" s="121" t="s">
        <v>78</v>
      </c>
      <c r="C18" s="184" t="s">
        <v>56</v>
      </c>
      <c r="D18" s="251">
        <v>51772.629225540411</v>
      </c>
      <c r="E18" s="251">
        <v>56221.863503486828</v>
      </c>
      <c r="F18" s="251">
        <v>63839.718421089943</v>
      </c>
      <c r="G18" s="251">
        <v>64480.735624846056</v>
      </c>
      <c r="H18" s="251">
        <v>69963.056720867433</v>
      </c>
      <c r="I18" s="251">
        <v>72281.925335339067</v>
      </c>
      <c r="J18" s="251">
        <v>79447.992518712417</v>
      </c>
      <c r="K18" s="251">
        <v>84814.32863529172</v>
      </c>
      <c r="L18" s="251">
        <v>82729.378108723977</v>
      </c>
      <c r="M18" s="251">
        <v>86969.237133237402</v>
      </c>
      <c r="N18" s="251">
        <v>75609.003133428196</v>
      </c>
      <c r="O18" s="251">
        <v>80245.791733248159</v>
      </c>
      <c r="P18" s="251">
        <v>89548.159824824615</v>
      </c>
      <c r="Q18" s="252">
        <v>94803.369844633926</v>
      </c>
      <c r="R18" s="37" t="s">
        <v>130</v>
      </c>
    </row>
    <row r="19" spans="2:19" ht="25.15" customHeight="1">
      <c r="B19" s="121" t="s">
        <v>187</v>
      </c>
      <c r="C19" s="187" t="s">
        <v>188</v>
      </c>
      <c r="D19" s="251">
        <v>51434.582561632444</v>
      </c>
      <c r="E19" s="251">
        <v>53184.784674191847</v>
      </c>
      <c r="F19" s="253">
        <v>52394.595889104508</v>
      </c>
      <c r="G19" s="253">
        <v>53456.631474668306</v>
      </c>
      <c r="H19" s="253">
        <v>57295.230822414051</v>
      </c>
      <c r="I19" s="253">
        <v>59518.905158376794</v>
      </c>
      <c r="J19" s="253">
        <v>62832.409140661635</v>
      </c>
      <c r="K19" s="253">
        <v>64567.722375381716</v>
      </c>
      <c r="L19" s="253">
        <v>64034.298519622083</v>
      </c>
      <c r="M19" s="253">
        <v>61856.938637992476</v>
      </c>
      <c r="N19" s="253">
        <v>60255.636901847931</v>
      </c>
      <c r="O19" s="253">
        <v>61924.790821005168</v>
      </c>
      <c r="P19" s="253">
        <v>68905.451326606155</v>
      </c>
      <c r="Q19" s="252">
        <v>69850.080275652639</v>
      </c>
      <c r="R19" s="37" t="s">
        <v>189</v>
      </c>
    </row>
    <row r="20" spans="2:19" ht="25.15" customHeight="1">
      <c r="B20" s="121" t="s">
        <v>79</v>
      </c>
      <c r="C20" s="185" t="s">
        <v>57</v>
      </c>
      <c r="D20" s="225">
        <v>58000.442988081333</v>
      </c>
      <c r="E20" s="225">
        <v>59554.69664800079</v>
      </c>
      <c r="F20" s="225">
        <v>63243.908774836644</v>
      </c>
      <c r="G20" s="225">
        <v>70511.0049305672</v>
      </c>
      <c r="H20" s="225">
        <v>73597.848082904922</v>
      </c>
      <c r="I20" s="225">
        <v>74353.482159273641</v>
      </c>
      <c r="J20" s="225">
        <v>86222.520288180385</v>
      </c>
      <c r="K20" s="225">
        <v>82505.774362415425</v>
      </c>
      <c r="L20" s="225">
        <v>80566.615972631495</v>
      </c>
      <c r="M20" s="225">
        <v>79650.334165468783</v>
      </c>
      <c r="N20" s="225">
        <v>89936.346196935599</v>
      </c>
      <c r="O20" s="225">
        <v>89308.574557964253</v>
      </c>
      <c r="P20" s="225">
        <v>87771.037027305531</v>
      </c>
      <c r="Q20" s="252">
        <v>91068.870581830633</v>
      </c>
      <c r="R20" s="186" t="s">
        <v>131</v>
      </c>
    </row>
    <row r="21" spans="2:19" ht="25.15" customHeight="1">
      <c r="B21" s="121" t="s">
        <v>80</v>
      </c>
      <c r="C21" s="184" t="s">
        <v>58</v>
      </c>
      <c r="D21" s="251">
        <v>12661.446961519396</v>
      </c>
      <c r="E21" s="251">
        <v>12826.632433192339</v>
      </c>
      <c r="F21" s="251">
        <v>12453.175243155489</v>
      </c>
      <c r="G21" s="251">
        <v>13134.209632157788</v>
      </c>
      <c r="H21" s="251">
        <v>14177.363241451314</v>
      </c>
      <c r="I21" s="251">
        <v>15310.824765957062</v>
      </c>
      <c r="J21" s="251">
        <v>17190.521718850789</v>
      </c>
      <c r="K21" s="251">
        <v>18632.553121014211</v>
      </c>
      <c r="L21" s="251">
        <v>19665.356251510733</v>
      </c>
      <c r="M21" s="251">
        <v>21298.914728827345</v>
      </c>
      <c r="N21" s="251">
        <v>23523.325737986914</v>
      </c>
      <c r="O21" s="251">
        <v>24028.139532081521</v>
      </c>
      <c r="P21" s="251">
        <v>25539.244792613186</v>
      </c>
      <c r="Q21" s="252">
        <v>26609.039828024175</v>
      </c>
      <c r="R21" s="37" t="s">
        <v>59</v>
      </c>
    </row>
    <row r="22" spans="2:19" ht="25.15" customHeight="1">
      <c r="B22" s="121" t="s">
        <v>81</v>
      </c>
      <c r="C22" s="184" t="s">
        <v>60</v>
      </c>
      <c r="D22" s="251">
        <v>6859.025785348399</v>
      </c>
      <c r="E22" s="251">
        <v>8330.3490404915538</v>
      </c>
      <c r="F22" s="251">
        <v>11504.201975433149</v>
      </c>
      <c r="G22" s="251">
        <v>14134.730144549805</v>
      </c>
      <c r="H22" s="251">
        <v>15208.241533702345</v>
      </c>
      <c r="I22" s="251">
        <v>15607.960151625699</v>
      </c>
      <c r="J22" s="251">
        <v>14744.317423618513</v>
      </c>
      <c r="K22" s="251">
        <v>15105.035477950856</v>
      </c>
      <c r="L22" s="251">
        <v>15933.831539498051</v>
      </c>
      <c r="M22" s="251">
        <v>17102.916970271348</v>
      </c>
      <c r="N22" s="251">
        <v>18075.700848021515</v>
      </c>
      <c r="O22" s="251">
        <v>22972.608769318977</v>
      </c>
      <c r="P22" s="251">
        <v>24909.473497304582</v>
      </c>
      <c r="Q22" s="252">
        <v>25928.526846538654</v>
      </c>
      <c r="R22" s="37" t="s">
        <v>132</v>
      </c>
    </row>
    <row r="23" spans="2:19" ht="25.15" customHeight="1">
      <c r="B23" s="121" t="s">
        <v>82</v>
      </c>
      <c r="C23" s="184" t="s">
        <v>61</v>
      </c>
      <c r="D23" s="251">
        <v>6650.6857766655194</v>
      </c>
      <c r="E23" s="251">
        <v>6119.2937392894119</v>
      </c>
      <c r="F23" s="251">
        <v>6109.9330621908939</v>
      </c>
      <c r="G23" s="251">
        <v>5812.9739297054484</v>
      </c>
      <c r="H23" s="251">
        <v>6193.4285812451344</v>
      </c>
      <c r="I23" s="251">
        <v>6640.4396832033362</v>
      </c>
      <c r="J23" s="251">
        <v>7359.2363556338569</v>
      </c>
      <c r="K23" s="251">
        <v>9118.1786873311394</v>
      </c>
      <c r="L23" s="251">
        <v>8734.9878065432767</v>
      </c>
      <c r="M23" s="251">
        <v>8675.3613584231462</v>
      </c>
      <c r="N23" s="251">
        <v>7225.8785585349187</v>
      </c>
      <c r="O23" s="251">
        <v>7617.780535850763</v>
      </c>
      <c r="P23" s="251">
        <v>8254.6112297284399</v>
      </c>
      <c r="Q23" s="252">
        <v>8609.5962490558213</v>
      </c>
      <c r="R23" s="37" t="s">
        <v>133</v>
      </c>
    </row>
    <row r="24" spans="2:19" ht="25.15" customHeight="1">
      <c r="B24" s="122" t="s">
        <v>83</v>
      </c>
      <c r="C24" s="188" t="s">
        <v>114</v>
      </c>
      <c r="D24" s="227">
        <v>4637.4780095990973</v>
      </c>
      <c r="E24" s="227">
        <v>5030.3429070500979</v>
      </c>
      <c r="F24" s="227">
        <v>5354.706513172051</v>
      </c>
      <c r="G24" s="227">
        <v>6579.5336860930802</v>
      </c>
      <c r="H24" s="227">
        <v>7297.6071006767479</v>
      </c>
      <c r="I24" s="227">
        <v>7192.887673625175</v>
      </c>
      <c r="J24" s="227">
        <v>7618.0194435866069</v>
      </c>
      <c r="K24" s="227">
        <v>7831.7816170531351</v>
      </c>
      <c r="L24" s="227">
        <v>8496.9925233064587</v>
      </c>
      <c r="M24" s="227">
        <v>9941.2795697323581</v>
      </c>
      <c r="N24" s="227">
        <v>10037.946055481083</v>
      </c>
      <c r="O24" s="227">
        <v>10062.634070180098</v>
      </c>
      <c r="P24" s="227">
        <v>10754.685806113919</v>
      </c>
      <c r="Q24" s="254">
        <v>10926.406915133135</v>
      </c>
      <c r="R24" s="186" t="s">
        <v>134</v>
      </c>
    </row>
    <row r="25" spans="2:19" ht="25.15" customHeight="1">
      <c r="B25" s="26"/>
      <c r="C25" s="26" t="s">
        <v>16</v>
      </c>
      <c r="D25" s="31">
        <v>1102444.29601882</v>
      </c>
      <c r="E25" s="31">
        <v>1170973.5763839174</v>
      </c>
      <c r="F25" s="31">
        <v>1192337.7643258215</v>
      </c>
      <c r="G25" s="31">
        <v>1252617.1112815833</v>
      </c>
      <c r="H25" s="31">
        <v>1304797.2801047731</v>
      </c>
      <c r="I25" s="31">
        <v>1393350.908042748</v>
      </c>
      <c r="J25" s="31">
        <v>1470841.9899778126</v>
      </c>
      <c r="K25" s="31">
        <v>1481653.689266236</v>
      </c>
      <c r="L25" s="31">
        <v>1501121.3427639494</v>
      </c>
      <c r="M25" s="31">
        <v>1517758.9932295652</v>
      </c>
      <c r="N25" s="31">
        <v>1442522.88407507</v>
      </c>
      <c r="O25" s="31">
        <v>1505341.2258116917</v>
      </c>
      <c r="P25" s="31">
        <v>1618387.7911712294</v>
      </c>
      <c r="Q25" s="31">
        <v>1676952.495939618</v>
      </c>
      <c r="R25" s="24" t="s">
        <v>20</v>
      </c>
    </row>
    <row r="26" spans="2:19" ht="25.15" customHeight="1" thickBot="1">
      <c r="B26" s="75"/>
      <c r="C26" s="75" t="s">
        <v>175</v>
      </c>
      <c r="D26" s="84">
        <v>774951.7201311104</v>
      </c>
      <c r="E26" s="84">
        <v>807086.65868199628</v>
      </c>
      <c r="F26" s="84">
        <v>803684.09022871777</v>
      </c>
      <c r="G26" s="84">
        <v>851503.13197348197</v>
      </c>
      <c r="H26" s="84">
        <v>905226.60317763023</v>
      </c>
      <c r="I26" s="84">
        <v>956332.17391567968</v>
      </c>
      <c r="J26" s="84">
        <v>1016179.9462781259</v>
      </c>
      <c r="K26" s="84">
        <v>1058460.3777210764</v>
      </c>
      <c r="L26" s="84">
        <v>1059079.4686362401</v>
      </c>
      <c r="M26" s="84">
        <v>1087414.5883986391</v>
      </c>
      <c r="N26" s="84">
        <v>1028347.5423423091</v>
      </c>
      <c r="O26" s="84">
        <v>1095524.4897611532</v>
      </c>
      <c r="P26" s="84">
        <v>1173745.8553845142</v>
      </c>
      <c r="Q26" s="84">
        <v>1246073.9008701062</v>
      </c>
      <c r="R26" s="48" t="s">
        <v>190</v>
      </c>
    </row>
    <row r="27" spans="2:19" s="2" customFormat="1" ht="24.95" customHeight="1">
      <c r="B27" s="527" t="s">
        <v>326</v>
      </c>
      <c r="C27" s="527"/>
      <c r="D27" s="31"/>
      <c r="E27" s="31"/>
      <c r="F27" s="31"/>
      <c r="G27" s="31"/>
      <c r="H27" s="31"/>
      <c r="I27" s="31"/>
      <c r="J27" s="31"/>
      <c r="K27" s="31"/>
      <c r="L27" s="31"/>
      <c r="M27" s="31"/>
      <c r="N27" s="31"/>
      <c r="O27" s="31"/>
      <c r="P27" s="31"/>
      <c r="Q27" s="31"/>
      <c r="R27" s="313" t="s">
        <v>327</v>
      </c>
    </row>
    <row r="28" spans="2:19" ht="24.95" customHeight="1">
      <c r="B28" s="528" t="s">
        <v>191</v>
      </c>
      <c r="C28" s="528"/>
      <c r="D28" s="11"/>
      <c r="E28" s="11"/>
      <c r="F28" s="11"/>
      <c r="G28" s="11"/>
      <c r="H28" s="11"/>
      <c r="I28" s="11"/>
      <c r="J28" s="11"/>
      <c r="K28" s="11"/>
      <c r="L28" s="11"/>
      <c r="M28" s="11"/>
      <c r="N28" s="11"/>
      <c r="O28" s="11"/>
      <c r="P28" s="11"/>
      <c r="Q28" s="11"/>
      <c r="R28" s="313" t="s">
        <v>325</v>
      </c>
      <c r="S28" s="99"/>
    </row>
    <row r="29" spans="2:19" ht="24.95" customHeight="1">
      <c r="B29" s="146" t="s">
        <v>192</v>
      </c>
      <c r="C29" s="146"/>
      <c r="D29" s="78"/>
      <c r="E29" s="78"/>
      <c r="F29" s="78"/>
      <c r="G29" s="78"/>
      <c r="H29" s="78"/>
      <c r="I29" s="78"/>
      <c r="J29" s="78"/>
      <c r="K29" s="78"/>
      <c r="L29" s="78"/>
      <c r="M29" s="78"/>
      <c r="N29" s="78"/>
      <c r="O29" s="78"/>
      <c r="P29" s="78"/>
      <c r="Q29" s="78"/>
      <c r="R29" s="81" t="s">
        <v>551</v>
      </c>
    </row>
    <row r="30" spans="2:19" ht="24.95" customHeight="1">
      <c r="B30" s="76"/>
      <c r="C30" s="77"/>
      <c r="D30" s="78"/>
      <c r="E30" s="78"/>
      <c r="F30" s="78"/>
      <c r="G30" s="78"/>
      <c r="H30" s="78"/>
      <c r="I30" s="78"/>
      <c r="J30" s="78"/>
      <c r="K30" s="78"/>
      <c r="L30" s="78"/>
      <c r="M30" s="78"/>
      <c r="N30" s="78"/>
      <c r="O30" s="78"/>
      <c r="P30" s="78"/>
      <c r="Q30" s="78"/>
      <c r="R30" s="81"/>
    </row>
    <row r="31" spans="2:19" ht="25.15" customHeight="1">
      <c r="B31" s="507" t="s">
        <v>384</v>
      </c>
      <c r="C31" s="507"/>
      <c r="D31" s="507"/>
      <c r="E31" s="507"/>
      <c r="F31" s="507"/>
      <c r="G31" s="507"/>
      <c r="H31" s="507"/>
      <c r="I31" s="507"/>
      <c r="J31" s="507"/>
      <c r="K31" s="507"/>
      <c r="L31" s="507"/>
      <c r="M31" s="507"/>
      <c r="N31" s="507"/>
      <c r="O31" s="507"/>
      <c r="P31" s="507"/>
      <c r="Q31" s="507"/>
      <c r="R31" s="507"/>
    </row>
    <row r="32" spans="2:19" ht="25.15" customHeight="1">
      <c r="B32" s="529" t="s">
        <v>380</v>
      </c>
      <c r="C32" s="529"/>
      <c r="D32" s="529"/>
      <c r="E32" s="529"/>
      <c r="F32" s="529"/>
      <c r="G32" s="529"/>
      <c r="H32" s="529"/>
      <c r="I32" s="529"/>
      <c r="J32" s="529"/>
      <c r="K32" s="529"/>
      <c r="L32" s="529"/>
      <c r="M32" s="529"/>
      <c r="N32" s="529"/>
      <c r="O32" s="529"/>
      <c r="P32" s="529"/>
      <c r="Q32" s="529"/>
      <c r="R32" s="529"/>
    </row>
    <row r="33" spans="2:32" ht="25.15" customHeight="1">
      <c r="B33" s="179"/>
      <c r="C33" s="179"/>
      <c r="D33" s="179"/>
      <c r="E33" s="179"/>
      <c r="F33" s="179"/>
      <c r="G33" s="179"/>
      <c r="H33" s="179"/>
      <c r="I33" s="179"/>
      <c r="J33" s="179"/>
      <c r="K33" s="179"/>
      <c r="L33" s="179"/>
      <c r="M33" s="179"/>
      <c r="N33" s="179"/>
      <c r="O33" s="179"/>
      <c r="P33" s="179"/>
      <c r="Q33" s="179"/>
      <c r="R33" s="35" t="s">
        <v>203</v>
      </c>
    </row>
    <row r="34" spans="2:32" s="30" customFormat="1" ht="25.15" customHeight="1">
      <c r="B34" s="3" t="s">
        <v>67</v>
      </c>
      <c r="C34" s="88" t="s">
        <v>117</v>
      </c>
      <c r="D34" s="114">
        <v>2010</v>
      </c>
      <c r="E34" s="181">
        <v>2011</v>
      </c>
      <c r="F34" s="181">
        <v>2012</v>
      </c>
      <c r="G34" s="226">
        <v>2013</v>
      </c>
      <c r="H34" s="226">
        <v>2014</v>
      </c>
      <c r="I34" s="226">
        <v>2015</v>
      </c>
      <c r="J34" s="226">
        <v>2016</v>
      </c>
      <c r="K34" s="181">
        <v>2017</v>
      </c>
      <c r="L34" s="5" t="s">
        <v>151</v>
      </c>
      <c r="M34" s="181">
        <v>2019</v>
      </c>
      <c r="N34" s="181">
        <v>2020</v>
      </c>
      <c r="O34" s="181">
        <v>2021</v>
      </c>
      <c r="P34" s="181" t="s">
        <v>185</v>
      </c>
      <c r="Q34" s="181" t="s">
        <v>186</v>
      </c>
      <c r="R34" s="3" t="s">
        <v>118</v>
      </c>
      <c r="S34" s="163"/>
    </row>
    <row r="35" spans="2:32" ht="25.15" customHeight="1">
      <c r="B35" s="120"/>
      <c r="C35" s="58" t="s">
        <v>102</v>
      </c>
      <c r="D35" s="228">
        <v>87.960827582437986</v>
      </c>
      <c r="E35" s="228">
        <v>88.380256804083317</v>
      </c>
      <c r="F35" s="228">
        <v>87.351198926303127</v>
      </c>
      <c r="G35" s="228">
        <v>86.073940069077921</v>
      </c>
      <c r="H35" s="228">
        <v>85.519154468361464</v>
      </c>
      <c r="I35" s="228">
        <v>85.710958450454058</v>
      </c>
      <c r="J35" s="228">
        <v>85.080399171339465</v>
      </c>
      <c r="K35" s="228">
        <v>85.503044640340804</v>
      </c>
      <c r="L35" s="228">
        <v>86.189406515026008</v>
      </c>
      <c r="M35" s="228">
        <v>86.090940260251713</v>
      </c>
      <c r="N35" s="228">
        <v>84.85252407040187</v>
      </c>
      <c r="O35" s="228">
        <v>85.206008464966374</v>
      </c>
      <c r="P35" s="228">
        <v>85.791247764368549</v>
      </c>
      <c r="Q35" s="228">
        <v>84.956364352503272</v>
      </c>
      <c r="R35" s="23" t="s">
        <v>44</v>
      </c>
      <c r="S35" s="163"/>
      <c r="T35" s="163"/>
      <c r="U35" s="163"/>
      <c r="V35" s="163"/>
      <c r="W35" s="163"/>
      <c r="X35" s="163"/>
      <c r="Y35" s="163"/>
      <c r="Z35" s="163"/>
      <c r="AA35" s="163"/>
      <c r="AB35" s="163"/>
      <c r="AC35" s="163"/>
      <c r="AD35" s="163"/>
      <c r="AE35" s="163"/>
      <c r="AF35" s="163"/>
    </row>
    <row r="36" spans="2:32" ht="25.15" customHeight="1">
      <c r="B36" s="121" t="s">
        <v>68</v>
      </c>
      <c r="C36" s="184" t="s">
        <v>45</v>
      </c>
      <c r="D36" s="322">
        <v>0.73502577053529905</v>
      </c>
      <c r="E36" s="322">
        <v>0.72909386271831966</v>
      </c>
      <c r="F36" s="322">
        <v>0.74339111171321082</v>
      </c>
      <c r="G36" s="322">
        <v>0.70234600864165986</v>
      </c>
      <c r="H36" s="322">
        <v>0.67313832192776013</v>
      </c>
      <c r="I36" s="322">
        <v>0.63287597730714129</v>
      </c>
      <c r="J36" s="322">
        <v>0.62360554138779878</v>
      </c>
      <c r="K36" s="322">
        <v>0.64612997376151449</v>
      </c>
      <c r="L36" s="322">
        <v>0.669026503046802</v>
      </c>
      <c r="M36" s="322">
        <v>0.72760072151169153</v>
      </c>
      <c r="N36" s="322">
        <v>0.74199319889224191</v>
      </c>
      <c r="O36" s="322">
        <v>0.90463252517388393</v>
      </c>
      <c r="P36" s="322">
        <v>0.79308937771093624</v>
      </c>
      <c r="Q36" s="322">
        <v>0.77249221462461437</v>
      </c>
      <c r="R36" s="37" t="s">
        <v>123</v>
      </c>
      <c r="S36" s="163"/>
      <c r="T36" s="163"/>
      <c r="U36" s="163"/>
      <c r="V36" s="163"/>
      <c r="W36" s="163"/>
      <c r="X36" s="163"/>
      <c r="Y36" s="163"/>
      <c r="Z36" s="163"/>
      <c r="AA36" s="163"/>
      <c r="AB36" s="163"/>
      <c r="AC36" s="163"/>
      <c r="AD36" s="163"/>
      <c r="AE36" s="163"/>
      <c r="AF36" s="163"/>
    </row>
    <row r="37" spans="2:32" ht="25.15" customHeight="1">
      <c r="B37" s="121" t="s">
        <v>69</v>
      </c>
      <c r="C37" s="184" t="s">
        <v>46</v>
      </c>
      <c r="D37" s="322">
        <v>29.706042932995373</v>
      </c>
      <c r="E37" s="322">
        <v>31.075587446271847</v>
      </c>
      <c r="F37" s="322">
        <v>32.595937638262981</v>
      </c>
      <c r="G37" s="322">
        <v>32.022074079581422</v>
      </c>
      <c r="H37" s="322">
        <v>30.623199712299982</v>
      </c>
      <c r="I37" s="322">
        <v>31.36458530327814</v>
      </c>
      <c r="J37" s="322">
        <v>30.911685061870259</v>
      </c>
      <c r="K37" s="322">
        <v>28.56222844858835</v>
      </c>
      <c r="L37" s="322">
        <v>29.447444489317359</v>
      </c>
      <c r="M37" s="322">
        <v>28.353935423911881</v>
      </c>
      <c r="N37" s="322">
        <v>28.711873226075419</v>
      </c>
      <c r="O37" s="322">
        <v>27.224175424383407</v>
      </c>
      <c r="P37" s="322">
        <v>27.474375314270461</v>
      </c>
      <c r="Q37" s="322">
        <v>25.694144354881377</v>
      </c>
      <c r="R37" s="37" t="s">
        <v>124</v>
      </c>
      <c r="S37" s="163"/>
      <c r="T37" s="163"/>
      <c r="U37" s="163"/>
      <c r="V37" s="163"/>
      <c r="W37" s="163"/>
      <c r="X37" s="163"/>
      <c r="Y37" s="163"/>
      <c r="Z37" s="163"/>
      <c r="AA37" s="163"/>
      <c r="AB37" s="163"/>
      <c r="AC37" s="163"/>
      <c r="AD37" s="163"/>
      <c r="AE37" s="163"/>
      <c r="AF37" s="163"/>
    </row>
    <row r="38" spans="2:32" ht="25.15" customHeight="1">
      <c r="B38" s="121" t="s">
        <v>70</v>
      </c>
      <c r="C38" s="184" t="s">
        <v>13</v>
      </c>
      <c r="D38" s="322">
        <v>8.4754217577298174</v>
      </c>
      <c r="E38" s="322">
        <v>8.5255779025737652</v>
      </c>
      <c r="F38" s="322">
        <v>7.8715813662483063</v>
      </c>
      <c r="G38" s="322">
        <v>7.9411953593043556</v>
      </c>
      <c r="H38" s="322">
        <v>7.7853539726003662</v>
      </c>
      <c r="I38" s="322">
        <v>8.545619314219854</v>
      </c>
      <c r="J38" s="322">
        <v>9.0621073094676721</v>
      </c>
      <c r="K38" s="322">
        <v>9.3129542935851273</v>
      </c>
      <c r="L38" s="322">
        <v>9.2667970695174215</v>
      </c>
      <c r="M38" s="322">
        <v>9.5293482378101562</v>
      </c>
      <c r="N38" s="322">
        <v>10.268708023236861</v>
      </c>
      <c r="O38" s="322">
        <v>10.945294081140473</v>
      </c>
      <c r="P38" s="322">
        <v>11.219251016807988</v>
      </c>
      <c r="Q38" s="322">
        <v>11.234778902960722</v>
      </c>
      <c r="R38" s="37" t="s">
        <v>47</v>
      </c>
      <c r="S38" s="163"/>
      <c r="T38" s="163"/>
      <c r="U38" s="163"/>
      <c r="V38" s="163"/>
      <c r="W38" s="163"/>
      <c r="X38" s="163"/>
      <c r="Y38" s="163"/>
      <c r="Z38" s="163"/>
      <c r="AA38" s="163"/>
      <c r="AB38" s="163"/>
      <c r="AC38" s="163"/>
      <c r="AD38" s="163"/>
      <c r="AE38" s="163"/>
      <c r="AF38" s="163"/>
    </row>
    <row r="39" spans="2:32" ht="25.15" customHeight="1">
      <c r="B39" s="121" t="s">
        <v>71</v>
      </c>
      <c r="C39" s="184" t="s">
        <v>48</v>
      </c>
      <c r="D39" s="322">
        <v>2.4029201140193237</v>
      </c>
      <c r="E39" s="322">
        <v>2.4507436920213848</v>
      </c>
      <c r="F39" s="322">
        <v>2.5527198500277155</v>
      </c>
      <c r="G39" s="322">
        <v>2.5226539983913199</v>
      </c>
      <c r="H39" s="322">
        <v>2.6426602274522666</v>
      </c>
      <c r="I39" s="322">
        <v>1.7624801716893603</v>
      </c>
      <c r="J39" s="322">
        <v>1.937796508733445</v>
      </c>
      <c r="K39" s="322">
        <v>2.1491334460316454</v>
      </c>
      <c r="L39" s="322">
        <v>2.1680504077554135</v>
      </c>
      <c r="M39" s="322">
        <v>2.3045103556638606</v>
      </c>
      <c r="N39" s="322">
        <v>2.4023657431726413</v>
      </c>
      <c r="O39" s="322">
        <v>2.5694359152281647</v>
      </c>
      <c r="P39" s="322">
        <v>2.6324405852166257</v>
      </c>
      <c r="Q39" s="322">
        <v>2.6467735111848585</v>
      </c>
      <c r="R39" s="37" t="s">
        <v>125</v>
      </c>
      <c r="S39" s="163"/>
      <c r="T39" s="163"/>
      <c r="U39" s="163"/>
      <c r="V39" s="163"/>
      <c r="W39" s="163"/>
      <c r="X39" s="163"/>
      <c r="Y39" s="163"/>
      <c r="Z39" s="163"/>
      <c r="AA39" s="163"/>
      <c r="AB39" s="163"/>
      <c r="AC39" s="163"/>
      <c r="AD39" s="163"/>
      <c r="AE39" s="163"/>
      <c r="AF39" s="163"/>
    </row>
    <row r="40" spans="2:32" ht="25.15" customHeight="1">
      <c r="B40" s="121" t="s">
        <v>72</v>
      </c>
      <c r="C40" s="184" t="s">
        <v>14</v>
      </c>
      <c r="D40" s="322">
        <v>11.094074678113994</v>
      </c>
      <c r="E40" s="322">
        <v>10.387357914308026</v>
      </c>
      <c r="F40" s="322">
        <v>9.6925703852891143</v>
      </c>
      <c r="G40" s="322">
        <v>9.2041207461352617</v>
      </c>
      <c r="H40" s="322">
        <v>9.1444594613263845</v>
      </c>
      <c r="I40" s="322">
        <v>9.0976575701218199</v>
      </c>
      <c r="J40" s="322">
        <v>8.5997483569662947</v>
      </c>
      <c r="K40" s="322">
        <v>8.664327392671364</v>
      </c>
      <c r="L40" s="322">
        <v>8.753127030576465</v>
      </c>
      <c r="M40" s="322">
        <v>8.4903512851177414</v>
      </c>
      <c r="N40" s="322">
        <v>8.4051389108970405</v>
      </c>
      <c r="O40" s="322">
        <v>8.2248427428544595</v>
      </c>
      <c r="P40" s="322">
        <v>8.0360275589702876</v>
      </c>
      <c r="Q40" s="322">
        <v>8.4432335861808792</v>
      </c>
      <c r="R40" s="37" t="s">
        <v>49</v>
      </c>
      <c r="S40" s="163"/>
      <c r="T40" s="163"/>
      <c r="U40" s="163"/>
      <c r="V40" s="163"/>
      <c r="W40" s="163"/>
      <c r="X40" s="163"/>
      <c r="Y40" s="163"/>
      <c r="Z40" s="163"/>
      <c r="AA40" s="163"/>
      <c r="AB40" s="163"/>
      <c r="AC40" s="163"/>
      <c r="AD40" s="163"/>
      <c r="AE40" s="163"/>
      <c r="AF40" s="163"/>
    </row>
    <row r="41" spans="2:32" ht="25.15" customHeight="1">
      <c r="B41" s="121" t="s">
        <v>73</v>
      </c>
      <c r="C41" s="184" t="s">
        <v>50</v>
      </c>
      <c r="D41" s="322">
        <v>13.432900002100325</v>
      </c>
      <c r="E41" s="322">
        <v>13.21605042698128</v>
      </c>
      <c r="F41" s="322">
        <v>11.370268865656417</v>
      </c>
      <c r="G41" s="322">
        <v>11.564343634787267</v>
      </c>
      <c r="H41" s="322">
        <v>11.57591678704949</v>
      </c>
      <c r="I41" s="322">
        <v>12.131479347922676</v>
      </c>
      <c r="J41" s="322">
        <v>11.62592402858197</v>
      </c>
      <c r="K41" s="322">
        <v>12.678963684679653</v>
      </c>
      <c r="L41" s="322">
        <v>12.695446788747855</v>
      </c>
      <c r="M41" s="322">
        <v>12.98199844595273</v>
      </c>
      <c r="N41" s="322">
        <v>12.764601811273064</v>
      </c>
      <c r="O41" s="322">
        <v>13.128941394927166</v>
      </c>
      <c r="P41" s="322">
        <v>12.56513314991556</v>
      </c>
      <c r="Q41" s="322">
        <v>12.59835761319027</v>
      </c>
      <c r="R41" s="37" t="s">
        <v>126</v>
      </c>
      <c r="S41" s="163"/>
      <c r="T41" s="163"/>
      <c r="U41" s="163"/>
      <c r="V41" s="163"/>
      <c r="W41" s="163"/>
      <c r="X41" s="163"/>
      <c r="Y41" s="163"/>
      <c r="Z41" s="163"/>
      <c r="AA41" s="163"/>
      <c r="AB41" s="163"/>
      <c r="AC41" s="163"/>
      <c r="AD41" s="163"/>
      <c r="AE41" s="163"/>
      <c r="AF41" s="163"/>
    </row>
    <row r="42" spans="2:32" ht="25.15" customHeight="1">
      <c r="B42" s="121" t="s">
        <v>74</v>
      </c>
      <c r="C42" s="184" t="s">
        <v>51</v>
      </c>
      <c r="D42" s="322">
        <v>5.7016582198075714</v>
      </c>
      <c r="E42" s="322">
        <v>5.6588744621214175</v>
      </c>
      <c r="F42" s="322">
        <v>5.765495802422973</v>
      </c>
      <c r="G42" s="322">
        <v>5.601805673462386</v>
      </c>
      <c r="H42" s="322">
        <v>6.011345463033388</v>
      </c>
      <c r="I42" s="322">
        <v>5.3853882179358363</v>
      </c>
      <c r="J42" s="322">
        <v>5.2572633085392857</v>
      </c>
      <c r="K42" s="322">
        <v>5.5098160406420789</v>
      </c>
      <c r="L42" s="322">
        <v>5.5499853928710836</v>
      </c>
      <c r="M42" s="322">
        <v>5.6926646386180426</v>
      </c>
      <c r="N42" s="322">
        <v>4.0122744142697684</v>
      </c>
      <c r="O42" s="322">
        <v>4.3075149863397382</v>
      </c>
      <c r="P42" s="322">
        <v>4.7804396784511871</v>
      </c>
      <c r="Q42" s="322">
        <v>5.1448379457089066</v>
      </c>
      <c r="R42" s="37" t="s">
        <v>127</v>
      </c>
      <c r="S42" s="163"/>
      <c r="T42" s="163"/>
      <c r="U42" s="163"/>
      <c r="V42" s="163"/>
      <c r="W42" s="163"/>
      <c r="X42" s="163"/>
      <c r="Y42" s="163"/>
      <c r="Z42" s="163"/>
      <c r="AA42" s="163"/>
      <c r="AB42" s="163"/>
      <c r="AC42" s="163"/>
      <c r="AD42" s="163"/>
      <c r="AE42" s="163"/>
      <c r="AF42" s="163"/>
    </row>
    <row r="43" spans="2:32" ht="25.15" customHeight="1">
      <c r="B43" s="121" t="s">
        <v>75</v>
      </c>
      <c r="C43" s="184" t="s">
        <v>52</v>
      </c>
      <c r="D43" s="322">
        <v>1.7203492215296194</v>
      </c>
      <c r="E43" s="322">
        <v>1.8686242301676024</v>
      </c>
      <c r="F43" s="322">
        <v>1.8806409791490193</v>
      </c>
      <c r="G43" s="322">
        <v>1.8354248100104678</v>
      </c>
      <c r="H43" s="322">
        <v>1.8919295578272166</v>
      </c>
      <c r="I43" s="322">
        <v>1.9606731009409486</v>
      </c>
      <c r="J43" s="322">
        <v>1.9852666180817733</v>
      </c>
      <c r="K43" s="322">
        <v>2.1130247172274319</v>
      </c>
      <c r="L43" s="322">
        <v>2.0790570827977741</v>
      </c>
      <c r="M43" s="322">
        <v>2.3094423068341605</v>
      </c>
      <c r="N43" s="322">
        <v>1.69760491949889</v>
      </c>
      <c r="O43" s="322">
        <v>1.8096550710689476</v>
      </c>
      <c r="P43" s="322">
        <v>1.8891564973754043</v>
      </c>
      <c r="Q43" s="322">
        <v>1.9233039972268506</v>
      </c>
      <c r="R43" s="37" t="s">
        <v>128</v>
      </c>
      <c r="S43" s="163"/>
      <c r="T43" s="163"/>
      <c r="U43" s="163"/>
      <c r="V43" s="163"/>
      <c r="W43" s="163"/>
      <c r="X43" s="163"/>
      <c r="Y43" s="163"/>
      <c r="Z43" s="163"/>
      <c r="AA43" s="163"/>
      <c r="AB43" s="163"/>
      <c r="AC43" s="163"/>
      <c r="AD43" s="163"/>
      <c r="AE43" s="163"/>
      <c r="AF43" s="163"/>
    </row>
    <row r="44" spans="2:32" ht="25.15" customHeight="1">
      <c r="B44" s="121" t="s">
        <v>76</v>
      </c>
      <c r="C44" s="184" t="s">
        <v>53</v>
      </c>
      <c r="D44" s="322">
        <v>2.9568423683319809</v>
      </c>
      <c r="E44" s="322">
        <v>2.7957586764378268</v>
      </c>
      <c r="F44" s="322">
        <v>2.6084435648067541</v>
      </c>
      <c r="G44" s="322">
        <v>2.6236754379565541</v>
      </c>
      <c r="H44" s="322">
        <v>2.6912567021431446</v>
      </c>
      <c r="I44" s="322">
        <v>2.6753248840752821</v>
      </c>
      <c r="J44" s="322">
        <v>2.7320681487316096</v>
      </c>
      <c r="K44" s="322">
        <v>2.8919220724738337</v>
      </c>
      <c r="L44" s="322">
        <v>2.8301316518373936</v>
      </c>
      <c r="M44" s="322">
        <v>2.7936793218017972</v>
      </c>
      <c r="N44" s="322">
        <v>3.0447322613044658</v>
      </c>
      <c r="O44" s="322">
        <v>3.0187918134724718</v>
      </c>
      <c r="P44" s="322">
        <v>2.9832315910692802</v>
      </c>
      <c r="Q44" s="322">
        <v>3.033504275670623</v>
      </c>
      <c r="R44" s="37" t="s">
        <v>129</v>
      </c>
      <c r="S44" s="163"/>
      <c r="T44" s="163"/>
      <c r="U44" s="163"/>
      <c r="V44" s="163"/>
      <c r="W44" s="163"/>
      <c r="X44" s="163"/>
      <c r="Y44" s="163"/>
      <c r="Z44" s="163"/>
      <c r="AA44" s="163"/>
      <c r="AB44" s="163"/>
      <c r="AC44" s="163"/>
      <c r="AD44" s="163"/>
      <c r="AE44" s="163"/>
      <c r="AF44" s="163"/>
    </row>
    <row r="45" spans="2:32" ht="25.15" customHeight="1">
      <c r="B45" s="121" t="s">
        <v>77</v>
      </c>
      <c r="C45" s="185" t="s">
        <v>54</v>
      </c>
      <c r="D45" s="228">
        <v>6.3574412658040149</v>
      </c>
      <c r="E45" s="228">
        <v>6.1042438834133224</v>
      </c>
      <c r="F45" s="228">
        <v>6.8955139313747278</v>
      </c>
      <c r="G45" s="228">
        <v>7.7717021529266166</v>
      </c>
      <c r="H45" s="228">
        <v>8.2809969868066506</v>
      </c>
      <c r="I45" s="228">
        <v>8.4365050950035751</v>
      </c>
      <c r="J45" s="228">
        <v>8.5395450258490833</v>
      </c>
      <c r="K45" s="228">
        <v>8.3998790567475048</v>
      </c>
      <c r="L45" s="228">
        <v>7.8774549732032293</v>
      </c>
      <c r="M45" s="228">
        <v>8.0061717229516614</v>
      </c>
      <c r="N45" s="228">
        <v>8.2169590306222826</v>
      </c>
      <c r="O45" s="228">
        <v>8.1927501072262814</v>
      </c>
      <c r="P45" s="228">
        <v>8.120858878371493</v>
      </c>
      <c r="Q45" s="228">
        <v>8.9614551597414902</v>
      </c>
      <c r="R45" s="186" t="s">
        <v>55</v>
      </c>
      <c r="S45" s="163"/>
      <c r="T45" s="163"/>
      <c r="U45" s="163"/>
      <c r="V45" s="163"/>
      <c r="W45" s="163"/>
      <c r="X45" s="163"/>
      <c r="Y45" s="163"/>
      <c r="Z45" s="163"/>
      <c r="AA45" s="163"/>
      <c r="AB45" s="163"/>
      <c r="AC45" s="163"/>
      <c r="AD45" s="163"/>
      <c r="AE45" s="163"/>
      <c r="AF45" s="163"/>
    </row>
    <row r="46" spans="2:32" ht="25.15" customHeight="1">
      <c r="B46" s="121" t="s">
        <v>78</v>
      </c>
      <c r="C46" s="184" t="s">
        <v>56</v>
      </c>
      <c r="D46" s="322">
        <v>4.6961673630589145</v>
      </c>
      <c r="E46" s="322">
        <v>4.8012922441090025</v>
      </c>
      <c r="F46" s="322">
        <v>5.3541639232727452</v>
      </c>
      <c r="G46" s="322">
        <v>5.1476812063403976</v>
      </c>
      <c r="H46" s="322">
        <v>5.3619867076400949</v>
      </c>
      <c r="I46" s="322">
        <v>5.1876325567458172</v>
      </c>
      <c r="J46" s="322">
        <v>5.4015314398190979</v>
      </c>
      <c r="K46" s="322">
        <v>5.7243017885842535</v>
      </c>
      <c r="L46" s="322">
        <v>5.5111719320703267</v>
      </c>
      <c r="M46" s="322">
        <v>5.7301085034706212</v>
      </c>
      <c r="N46" s="322">
        <v>5.2414421960389115</v>
      </c>
      <c r="O46" s="322">
        <v>5.3307376664702053</v>
      </c>
      <c r="P46" s="322">
        <v>5.5331707464265092</v>
      </c>
      <c r="Q46" s="322">
        <v>5.6533127846006384</v>
      </c>
      <c r="R46" s="37" t="s">
        <v>130</v>
      </c>
      <c r="S46" s="163"/>
      <c r="T46" s="163"/>
      <c r="U46" s="163"/>
      <c r="V46" s="163"/>
      <c r="W46" s="163"/>
      <c r="X46" s="163"/>
      <c r="Y46" s="163"/>
      <c r="Z46" s="163"/>
      <c r="AA46" s="163"/>
      <c r="AB46" s="163"/>
      <c r="AC46" s="163"/>
      <c r="AD46" s="163"/>
      <c r="AE46" s="163"/>
      <c r="AF46" s="163"/>
    </row>
    <row r="47" spans="2:32" ht="39.75" customHeight="1">
      <c r="B47" s="121" t="s">
        <v>187</v>
      </c>
      <c r="C47" s="187" t="s">
        <v>188</v>
      </c>
      <c r="D47" s="322">
        <v>4.6655039848611466</v>
      </c>
      <c r="E47" s="322">
        <v>4.5419286777103673</v>
      </c>
      <c r="F47" s="322">
        <v>4.394274630622788</v>
      </c>
      <c r="G47" s="322">
        <v>4.2675955001106054</v>
      </c>
      <c r="H47" s="322">
        <v>4.391121264278949</v>
      </c>
      <c r="I47" s="322">
        <v>4.271637877782239</v>
      </c>
      <c r="J47" s="322">
        <v>4.2718666973608395</v>
      </c>
      <c r="K47" s="322">
        <v>4.3578147068467663</v>
      </c>
      <c r="L47" s="322">
        <v>4.2657643120121467</v>
      </c>
      <c r="M47" s="322">
        <v>4.0755442012812662</v>
      </c>
      <c r="N47" s="322">
        <v>4.1771009366331953</v>
      </c>
      <c r="O47" s="322">
        <v>4.1136713563142369</v>
      </c>
      <c r="P47" s="322">
        <v>4.2576601048589957</v>
      </c>
      <c r="Q47" s="322">
        <v>4.165298685847076</v>
      </c>
      <c r="R47" s="37" t="s">
        <v>189</v>
      </c>
      <c r="S47" s="163"/>
      <c r="T47" s="163"/>
      <c r="U47" s="163"/>
      <c r="V47" s="163"/>
      <c r="W47" s="163"/>
      <c r="X47" s="163"/>
      <c r="Y47" s="163"/>
      <c r="Z47" s="163"/>
      <c r="AA47" s="163"/>
      <c r="AB47" s="163"/>
      <c r="AC47" s="163"/>
      <c r="AD47" s="163"/>
      <c r="AE47" s="163"/>
      <c r="AF47" s="163"/>
    </row>
    <row r="48" spans="2:32" ht="39.75" customHeight="1">
      <c r="B48" s="121" t="s">
        <v>79</v>
      </c>
      <c r="C48" s="185" t="s">
        <v>57</v>
      </c>
      <c r="D48" s="228">
        <v>5.2610769721004775</v>
      </c>
      <c r="E48" s="228">
        <v>5.0859129402314611</v>
      </c>
      <c r="F48" s="228">
        <v>5.3041940519762347</v>
      </c>
      <c r="G48" s="228">
        <v>5.6290948203977242</v>
      </c>
      <c r="H48" s="228">
        <v>5.6405580548876628</v>
      </c>
      <c r="I48" s="228">
        <v>5.3363070085279958</v>
      </c>
      <c r="J48" s="228">
        <v>5.8621198521454394</v>
      </c>
      <c r="K48" s="228">
        <v>5.5684924864780658</v>
      </c>
      <c r="L48" s="228">
        <v>5.367095495710406</v>
      </c>
      <c r="M48" s="228">
        <v>5.2478907732237987</v>
      </c>
      <c r="N48" s="228">
        <v>6.2346564612457991</v>
      </c>
      <c r="O48" s="228">
        <v>5.9327794274556176</v>
      </c>
      <c r="P48" s="228">
        <v>5.4233625281976154</v>
      </c>
      <c r="Q48" s="228">
        <v>5.4306171941265147</v>
      </c>
      <c r="R48" s="186" t="s">
        <v>131</v>
      </c>
      <c r="S48" s="163"/>
      <c r="T48" s="163"/>
      <c r="U48" s="163"/>
      <c r="V48" s="163"/>
      <c r="W48" s="163"/>
      <c r="X48" s="163"/>
      <c r="Y48" s="163"/>
      <c r="Z48" s="163"/>
      <c r="AA48" s="163"/>
      <c r="AB48" s="163"/>
      <c r="AC48" s="163"/>
      <c r="AD48" s="163"/>
      <c r="AE48" s="163"/>
      <c r="AF48" s="163"/>
    </row>
    <row r="49" spans="2:32" ht="25.15" customHeight="1">
      <c r="B49" s="121" t="s">
        <v>80</v>
      </c>
      <c r="C49" s="184" t="s">
        <v>58</v>
      </c>
      <c r="D49" s="322">
        <v>1.1484885909648948</v>
      </c>
      <c r="E49" s="322">
        <v>1.0953818849441721</v>
      </c>
      <c r="F49" s="322">
        <v>1.0444335167222381</v>
      </c>
      <c r="G49" s="322">
        <v>1.0485414508444528</v>
      </c>
      <c r="H49" s="322">
        <v>1.0865567745751965</v>
      </c>
      <c r="I49" s="322">
        <v>1.0988491612256033</v>
      </c>
      <c r="J49" s="322">
        <v>1.1687538046904755</v>
      </c>
      <c r="K49" s="322">
        <v>1.2575511576015896</v>
      </c>
      <c r="L49" s="322">
        <v>1.3100444108869818</v>
      </c>
      <c r="M49" s="322">
        <v>1.4033133602790535</v>
      </c>
      <c r="N49" s="322">
        <v>1.6307072835846075</v>
      </c>
      <c r="O49" s="322">
        <v>1.5961922200812217</v>
      </c>
      <c r="P49" s="322">
        <v>1.5780670697058585</v>
      </c>
      <c r="Q49" s="322">
        <v>1.5867497673578874</v>
      </c>
      <c r="R49" s="37" t="s">
        <v>59</v>
      </c>
      <c r="S49" s="163"/>
      <c r="T49" s="163"/>
      <c r="U49" s="163"/>
      <c r="V49" s="163"/>
      <c r="W49" s="163"/>
      <c r="X49" s="163"/>
      <c r="Y49" s="163"/>
      <c r="Z49" s="163"/>
      <c r="AA49" s="163"/>
      <c r="AB49" s="163"/>
      <c r="AC49" s="163"/>
      <c r="AD49" s="163"/>
      <c r="AE49" s="163"/>
      <c r="AF49" s="163"/>
    </row>
    <row r="50" spans="2:32" ht="25.15" customHeight="1">
      <c r="B50" s="121" t="s">
        <v>81</v>
      </c>
      <c r="C50" s="184" t="s">
        <v>60</v>
      </c>
      <c r="D50" s="322">
        <v>0.6221652930781103</v>
      </c>
      <c r="E50" s="322">
        <v>0.71140367370342361</v>
      </c>
      <c r="F50" s="322">
        <v>0.96484421777397278</v>
      </c>
      <c r="G50" s="322">
        <v>1.1284158596626717</v>
      </c>
      <c r="H50" s="322">
        <v>1.1655635527138091</v>
      </c>
      <c r="I50" s="322">
        <v>1.1201743983897303</v>
      </c>
      <c r="J50" s="322">
        <v>1.0024406104860339</v>
      </c>
      <c r="K50" s="322">
        <v>1.0194713911475071</v>
      </c>
      <c r="L50" s="322">
        <v>1.0614619275321062</v>
      </c>
      <c r="M50" s="322">
        <v>1.1268532781926652</v>
      </c>
      <c r="N50" s="322">
        <v>1.2530616358028495</v>
      </c>
      <c r="O50" s="322">
        <v>1.5260731836352894</v>
      </c>
      <c r="P50" s="322">
        <v>1.5391535720420604</v>
      </c>
      <c r="Q50" s="322">
        <v>1.5461694299223765</v>
      </c>
      <c r="R50" s="37" t="s">
        <v>132</v>
      </c>
      <c r="S50" s="163"/>
      <c r="T50" s="163"/>
      <c r="U50" s="163"/>
      <c r="V50" s="163"/>
      <c r="W50" s="163"/>
      <c r="X50" s="163"/>
      <c r="Y50" s="163"/>
      <c r="Z50" s="163"/>
      <c r="AA50" s="163"/>
      <c r="AB50" s="163"/>
      <c r="AC50" s="163"/>
      <c r="AD50" s="163"/>
      <c r="AE50" s="163"/>
      <c r="AF50" s="163"/>
    </row>
    <row r="51" spans="2:32" ht="25.15" customHeight="1">
      <c r="B51" s="121" t="s">
        <v>82</v>
      </c>
      <c r="C51" s="184" t="s">
        <v>61</v>
      </c>
      <c r="D51" s="322">
        <v>0.60326728531161877</v>
      </c>
      <c r="E51" s="322">
        <v>0.52258171001487486</v>
      </c>
      <c r="F51" s="322">
        <v>0.51243307433490604</v>
      </c>
      <c r="G51" s="322">
        <v>0.46406630384907105</v>
      </c>
      <c r="H51" s="322">
        <v>0.47466596349341039</v>
      </c>
      <c r="I51" s="322">
        <v>0.47658056881961047</v>
      </c>
      <c r="J51" s="322">
        <v>0.50034173662290327</v>
      </c>
      <c r="K51" s="322">
        <v>0.61540552649970204</v>
      </c>
      <c r="L51" s="322">
        <v>0.58189751605689144</v>
      </c>
      <c r="M51" s="322">
        <v>0.57159017980603555</v>
      </c>
      <c r="N51" s="322">
        <v>0.50091950972189081</v>
      </c>
      <c r="O51" s="322">
        <v>0.50605008387671013</v>
      </c>
      <c r="P51" s="322">
        <v>0.51005150154738665</v>
      </c>
      <c r="Q51" s="322">
        <v>0.51340728314619033</v>
      </c>
      <c r="R51" s="37" t="s">
        <v>133</v>
      </c>
      <c r="S51" s="163"/>
      <c r="T51" s="163"/>
      <c r="U51" s="163"/>
      <c r="V51" s="163"/>
      <c r="W51" s="163"/>
      <c r="X51" s="163"/>
      <c r="Y51" s="163"/>
      <c r="Z51" s="163"/>
      <c r="AA51" s="163"/>
      <c r="AB51" s="163"/>
      <c r="AC51" s="163"/>
      <c r="AD51" s="163"/>
      <c r="AE51" s="163"/>
      <c r="AF51" s="163"/>
    </row>
    <row r="52" spans="2:32" ht="25.15" customHeight="1">
      <c r="B52" s="122" t="s">
        <v>83</v>
      </c>
      <c r="C52" s="188" t="s">
        <v>114</v>
      </c>
      <c r="D52" s="229">
        <v>0.42065417965752094</v>
      </c>
      <c r="E52" s="229">
        <v>0.42958637227189156</v>
      </c>
      <c r="F52" s="229">
        <v>0.44909309034590045</v>
      </c>
      <c r="G52" s="229">
        <v>0.52526295759774488</v>
      </c>
      <c r="H52" s="229">
        <v>0.55929048994421282</v>
      </c>
      <c r="I52" s="229">
        <v>0.51622944601436305</v>
      </c>
      <c r="J52" s="229">
        <v>0.51793595066602105</v>
      </c>
      <c r="K52" s="229">
        <v>0.52858381643362917</v>
      </c>
      <c r="L52" s="229">
        <v>0.56604301606033502</v>
      </c>
      <c r="M52" s="229">
        <v>0.65499724357282807</v>
      </c>
      <c r="N52" s="229">
        <v>0.69586043773006101</v>
      </c>
      <c r="O52" s="229">
        <v>0.66846200035173076</v>
      </c>
      <c r="P52" s="229">
        <v>0.66453082906234351</v>
      </c>
      <c r="Q52" s="229">
        <v>0.65156329362871601</v>
      </c>
      <c r="R52" s="186" t="s">
        <v>134</v>
      </c>
      <c r="S52" s="163"/>
      <c r="T52" s="163"/>
      <c r="U52" s="163"/>
      <c r="V52" s="163"/>
      <c r="W52" s="163"/>
      <c r="X52" s="163"/>
      <c r="Y52" s="163"/>
      <c r="Z52" s="163"/>
      <c r="AA52" s="163"/>
      <c r="AB52" s="163"/>
      <c r="AC52" s="163"/>
      <c r="AD52" s="163"/>
      <c r="AE52" s="163"/>
      <c r="AF52" s="163"/>
    </row>
    <row r="53" spans="2:32" ht="25.15" customHeight="1">
      <c r="B53" s="26"/>
      <c r="C53" s="26" t="s">
        <v>16</v>
      </c>
      <c r="D53" s="228">
        <v>100</v>
      </c>
      <c r="E53" s="228">
        <v>100</v>
      </c>
      <c r="F53" s="228">
        <v>100</v>
      </c>
      <c r="G53" s="228">
        <v>100</v>
      </c>
      <c r="H53" s="228">
        <v>100</v>
      </c>
      <c r="I53" s="228">
        <v>100</v>
      </c>
      <c r="J53" s="228">
        <v>100</v>
      </c>
      <c r="K53" s="228">
        <v>100</v>
      </c>
      <c r="L53" s="228">
        <v>100</v>
      </c>
      <c r="M53" s="228">
        <v>100</v>
      </c>
      <c r="N53" s="228">
        <v>100</v>
      </c>
      <c r="O53" s="228">
        <v>100</v>
      </c>
      <c r="P53" s="228">
        <v>100</v>
      </c>
      <c r="Q53" s="228">
        <v>100</v>
      </c>
      <c r="R53" s="24" t="s">
        <v>20</v>
      </c>
      <c r="S53" s="163"/>
      <c r="T53" s="163"/>
      <c r="U53" s="163"/>
      <c r="V53" s="163"/>
      <c r="W53" s="163"/>
      <c r="X53" s="163"/>
      <c r="Y53" s="163"/>
      <c r="Z53" s="163"/>
      <c r="AA53" s="163"/>
      <c r="AB53" s="163"/>
      <c r="AC53" s="163"/>
      <c r="AD53" s="163"/>
      <c r="AE53" s="163"/>
      <c r="AF53" s="163"/>
    </row>
    <row r="54" spans="2:32" ht="25.15" customHeight="1" thickBot="1">
      <c r="B54" s="75"/>
      <c r="C54" s="75" t="s">
        <v>175</v>
      </c>
      <c r="D54" s="255">
        <v>70.293957067004627</v>
      </c>
      <c r="E54" s="255">
        <v>68.92441255372816</v>
      </c>
      <c r="F54" s="255">
        <v>67.404062361737033</v>
      </c>
      <c r="G54" s="255">
        <v>67.977925920418585</v>
      </c>
      <c r="H54" s="255">
        <v>69.376800287700007</v>
      </c>
      <c r="I54" s="255">
        <v>68.635414696721853</v>
      </c>
      <c r="J54" s="255">
        <v>69.088314938129741</v>
      </c>
      <c r="K54" s="255">
        <v>71.437771551411657</v>
      </c>
      <c r="L54" s="255">
        <v>70.552555510682652</v>
      </c>
      <c r="M54" s="255">
        <v>71.646064576088108</v>
      </c>
      <c r="N54" s="255">
        <v>71.288126773924589</v>
      </c>
      <c r="O54" s="255">
        <v>72.775824575616596</v>
      </c>
      <c r="P54" s="255">
        <v>72.525624685729539</v>
      </c>
      <c r="Q54" s="255">
        <v>74.305855645118612</v>
      </c>
      <c r="R54" s="48" t="s">
        <v>190</v>
      </c>
      <c r="S54" s="163"/>
      <c r="T54" s="163"/>
      <c r="U54" s="163"/>
      <c r="V54" s="163"/>
      <c r="W54" s="163"/>
      <c r="X54" s="163"/>
      <c r="Y54" s="163"/>
      <c r="Z54" s="163"/>
      <c r="AA54" s="163"/>
      <c r="AB54" s="163"/>
      <c r="AC54" s="163"/>
      <c r="AD54" s="163"/>
      <c r="AE54" s="163"/>
      <c r="AF54" s="163"/>
    </row>
    <row r="55" spans="2:32" s="2" customFormat="1" ht="24.95" customHeight="1">
      <c r="B55" s="527" t="s">
        <v>326</v>
      </c>
      <c r="C55" s="527"/>
      <c r="D55" s="31"/>
      <c r="E55" s="31"/>
      <c r="F55" s="31"/>
      <c r="G55" s="31"/>
      <c r="H55" s="31"/>
      <c r="I55" s="31"/>
      <c r="J55" s="31"/>
      <c r="K55" s="31"/>
      <c r="L55" s="31"/>
      <c r="M55" s="31"/>
      <c r="N55" s="31"/>
      <c r="O55" s="31"/>
      <c r="P55" s="31"/>
      <c r="Q55" s="31"/>
      <c r="R55" s="313" t="s">
        <v>327</v>
      </c>
      <c r="S55" s="22"/>
    </row>
    <row r="56" spans="2:32" ht="24.95" customHeight="1">
      <c r="B56" s="528" t="s">
        <v>191</v>
      </c>
      <c r="C56" s="528"/>
      <c r="D56" s="11"/>
      <c r="E56" s="11"/>
      <c r="F56" s="12"/>
      <c r="G56" s="12"/>
      <c r="H56" s="22"/>
      <c r="I56" s="22"/>
      <c r="J56" s="22"/>
      <c r="K56" s="22"/>
      <c r="L56" s="22"/>
      <c r="M56" s="22"/>
      <c r="N56" s="177"/>
      <c r="O56" s="177"/>
      <c r="P56" s="177"/>
      <c r="Q56" s="177"/>
      <c r="R56" s="313" t="s">
        <v>193</v>
      </c>
      <c r="S56" s="100"/>
    </row>
    <row r="57" spans="2:32" ht="24.95" customHeight="1">
      <c r="B57" s="146" t="s">
        <v>192</v>
      </c>
      <c r="C57" s="146"/>
      <c r="D57" s="78"/>
      <c r="E57" s="78"/>
      <c r="F57" s="79"/>
      <c r="G57" s="80"/>
      <c r="K57" s="100"/>
      <c r="L57" s="100"/>
      <c r="M57" s="100"/>
      <c r="N57" s="100"/>
      <c r="O57" s="100"/>
      <c r="P57" s="100"/>
      <c r="Q57" s="100"/>
      <c r="R57" s="81" t="s">
        <v>551</v>
      </c>
    </row>
    <row r="58" spans="2:32" ht="24.95" customHeight="1">
      <c r="C58" s="28"/>
      <c r="D58" s="25"/>
      <c r="E58" s="21"/>
      <c r="F58" s="21"/>
      <c r="G58" s="21"/>
      <c r="H58" s="21"/>
      <c r="I58" s="21"/>
      <c r="J58" s="21"/>
      <c r="K58" s="21"/>
      <c r="L58" s="21"/>
      <c r="M58" s="21"/>
      <c r="N58" s="21"/>
      <c r="O58" s="21"/>
      <c r="P58" s="21"/>
      <c r="Q58" s="21"/>
      <c r="R58" s="21"/>
    </row>
    <row r="59" spans="2:32" ht="25.15" customHeight="1">
      <c r="B59" s="531" t="s">
        <v>385</v>
      </c>
      <c r="C59" s="531"/>
      <c r="D59" s="531"/>
      <c r="E59" s="531"/>
      <c r="F59" s="531"/>
      <c r="G59" s="531"/>
      <c r="H59" s="531"/>
      <c r="I59" s="531"/>
      <c r="J59" s="531"/>
      <c r="K59" s="531"/>
      <c r="L59" s="531"/>
      <c r="M59" s="531"/>
      <c r="N59" s="531"/>
      <c r="O59" s="531"/>
      <c r="P59" s="531"/>
      <c r="Q59" s="531"/>
      <c r="R59" s="531"/>
    </row>
    <row r="60" spans="2:32" ht="25.15" customHeight="1">
      <c r="B60" s="532" t="s">
        <v>381</v>
      </c>
      <c r="C60" s="532"/>
      <c r="D60" s="532"/>
      <c r="E60" s="532"/>
      <c r="F60" s="532"/>
      <c r="G60" s="532"/>
      <c r="H60" s="532"/>
      <c r="I60" s="532"/>
      <c r="J60" s="532"/>
      <c r="K60" s="532"/>
      <c r="L60" s="532"/>
      <c r="M60" s="532"/>
      <c r="N60" s="532"/>
      <c r="O60" s="532"/>
      <c r="P60" s="532"/>
      <c r="Q60" s="532"/>
      <c r="R60" s="532"/>
    </row>
    <row r="61" spans="2:32" ht="25.15" customHeight="1">
      <c r="B61" s="180"/>
      <c r="C61" s="180"/>
      <c r="D61" s="180"/>
      <c r="E61" s="180"/>
      <c r="F61" s="180"/>
      <c r="G61" s="180"/>
      <c r="H61" s="180"/>
      <c r="I61" s="180"/>
      <c r="J61" s="180"/>
      <c r="K61" s="180"/>
      <c r="L61" s="180"/>
      <c r="M61" s="180"/>
      <c r="N61" s="180"/>
      <c r="O61" s="180"/>
      <c r="P61" s="180"/>
      <c r="Q61" s="180"/>
      <c r="R61" s="145" t="s">
        <v>203</v>
      </c>
    </row>
    <row r="62" spans="2:32" ht="25.15" customHeight="1">
      <c r="B62" s="3" t="s">
        <v>67</v>
      </c>
      <c r="C62" s="88" t="s">
        <v>117</v>
      </c>
      <c r="D62" s="49">
        <v>2010</v>
      </c>
      <c r="E62" s="181">
        <v>2011</v>
      </c>
      <c r="F62" s="181">
        <v>2012</v>
      </c>
      <c r="G62" s="226">
        <v>2013</v>
      </c>
      <c r="H62" s="226">
        <v>2014</v>
      </c>
      <c r="I62" s="226">
        <v>2015</v>
      </c>
      <c r="J62" s="226">
        <v>2016</v>
      </c>
      <c r="K62" s="181">
        <v>2017</v>
      </c>
      <c r="L62" s="5">
        <v>2018</v>
      </c>
      <c r="M62" s="181">
        <v>2019</v>
      </c>
      <c r="N62" s="181">
        <v>2020</v>
      </c>
      <c r="O62" s="181">
        <v>2021</v>
      </c>
      <c r="P62" s="181" t="s">
        <v>185</v>
      </c>
      <c r="Q62" s="181" t="s">
        <v>186</v>
      </c>
      <c r="R62" s="3" t="s">
        <v>118</v>
      </c>
      <c r="S62" s="164"/>
    </row>
    <row r="63" spans="2:32" ht="25.15" customHeight="1">
      <c r="B63" s="120"/>
      <c r="C63" s="58" t="s">
        <v>102</v>
      </c>
      <c r="D63" s="256" t="s">
        <v>116</v>
      </c>
      <c r="E63" s="228">
        <v>6.7225989182694734</v>
      </c>
      <c r="F63" s="228">
        <v>0.63888473031141757</v>
      </c>
      <c r="G63" s="228">
        <v>3.5194256833643633</v>
      </c>
      <c r="H63" s="228">
        <v>3.4942966923392715</v>
      </c>
      <c r="I63" s="228">
        <v>7.0262762796014178</v>
      </c>
      <c r="J63" s="228">
        <v>4.7848948713603567</v>
      </c>
      <c r="K63" s="228">
        <v>1.2354803329487352</v>
      </c>
      <c r="L63" s="228">
        <v>2.1271949541012303</v>
      </c>
      <c r="M63" s="228">
        <v>0.9928378834340279</v>
      </c>
      <c r="N63" s="228">
        <v>-6.3242430449446552</v>
      </c>
      <c r="O63" s="228">
        <v>4.7894834101443573</v>
      </c>
      <c r="P63" s="228">
        <v>8.2481296956370631</v>
      </c>
      <c r="Q63" s="228">
        <v>2.6103339858264407</v>
      </c>
      <c r="R63" s="23" t="s">
        <v>44</v>
      </c>
      <c r="T63" s="2"/>
      <c r="U63" s="2"/>
      <c r="V63" s="2"/>
      <c r="W63" s="2"/>
      <c r="X63" s="2"/>
      <c r="Y63" s="2"/>
      <c r="Z63" s="2"/>
      <c r="AA63" s="2"/>
      <c r="AB63" s="2"/>
      <c r="AC63" s="2"/>
      <c r="AD63" s="2"/>
      <c r="AE63" s="2"/>
    </row>
    <row r="64" spans="2:32" ht="25.15" customHeight="1">
      <c r="B64" s="121" t="s">
        <v>68</v>
      </c>
      <c r="C64" s="184" t="s">
        <v>45</v>
      </c>
      <c r="D64" s="257" t="s">
        <v>116</v>
      </c>
      <c r="E64" s="322">
        <v>5.3589216055271338</v>
      </c>
      <c r="F64" s="322">
        <v>3.8212195216053235</v>
      </c>
      <c r="G64" s="322">
        <v>-0.74490823714532528</v>
      </c>
      <c r="H64" s="322">
        <v>-0.16613158384062299</v>
      </c>
      <c r="I64" s="322">
        <v>0.39954797999395275</v>
      </c>
      <c r="J64" s="322">
        <v>4.0152145955253626</v>
      </c>
      <c r="K64" s="322">
        <v>4.373587123123146</v>
      </c>
      <c r="L64" s="322">
        <v>4.9041156835166966</v>
      </c>
      <c r="M64" s="322">
        <v>9.9605273060384256</v>
      </c>
      <c r="N64" s="322">
        <v>-3.0770330350260666</v>
      </c>
      <c r="O64" s="322">
        <v>27.228532473300792</v>
      </c>
      <c r="P64" s="322">
        <v>-5.7464812015419646</v>
      </c>
      <c r="Q64" s="322">
        <v>0.92764616158940161</v>
      </c>
      <c r="R64" s="37" t="s">
        <v>123</v>
      </c>
      <c r="T64" s="2"/>
      <c r="U64" s="2"/>
      <c r="V64" s="2"/>
      <c r="W64" s="2"/>
      <c r="X64" s="2"/>
      <c r="Y64" s="2"/>
      <c r="Z64" s="2"/>
      <c r="AA64" s="2"/>
      <c r="AB64" s="2"/>
      <c r="AC64" s="2"/>
      <c r="AD64" s="2"/>
      <c r="AE64" s="2"/>
    </row>
    <row r="65" spans="2:31" ht="25.15" customHeight="1">
      <c r="B65" s="121" t="s">
        <v>69</v>
      </c>
      <c r="C65" s="184" t="s">
        <v>46</v>
      </c>
      <c r="D65" s="257" t="s">
        <v>116</v>
      </c>
      <c r="E65" s="322">
        <v>11.113028048211637</v>
      </c>
      <c r="F65" s="322">
        <v>6.8061683974773857</v>
      </c>
      <c r="G65" s="322">
        <v>3.2060176042191468</v>
      </c>
      <c r="H65" s="322">
        <v>-0.38475407504385828</v>
      </c>
      <c r="I65" s="322">
        <v>9.3720734183789123</v>
      </c>
      <c r="J65" s="322">
        <v>4.037197537506132</v>
      </c>
      <c r="K65" s="322">
        <v>-6.9213457755256886</v>
      </c>
      <c r="L65" s="322">
        <v>4.4538895271595713</v>
      </c>
      <c r="M65" s="322">
        <v>-2.646235567584232</v>
      </c>
      <c r="N65" s="322">
        <v>-3.7572379044912951</v>
      </c>
      <c r="O65" s="322">
        <v>-1.0523575990757039</v>
      </c>
      <c r="P65" s="322">
        <v>8.4977495237974274</v>
      </c>
      <c r="Q65" s="322">
        <v>-3.0953762138633545</v>
      </c>
      <c r="R65" s="37" t="s">
        <v>124</v>
      </c>
      <c r="T65" s="2"/>
      <c r="U65" s="2"/>
      <c r="V65" s="2"/>
      <c r="W65" s="2"/>
      <c r="X65" s="2"/>
      <c r="Y65" s="2"/>
      <c r="Z65" s="2"/>
      <c r="AA65" s="2"/>
      <c r="AB65" s="2"/>
      <c r="AC65" s="2"/>
      <c r="AD65" s="2"/>
      <c r="AE65" s="2"/>
    </row>
    <row r="66" spans="2:31" ht="25.15" customHeight="1">
      <c r="B66" s="121" t="s">
        <v>70</v>
      </c>
      <c r="C66" s="184" t="s">
        <v>13</v>
      </c>
      <c r="D66" s="257" t="s">
        <v>116</v>
      </c>
      <c r="E66" s="322">
        <v>6.8446912630955481</v>
      </c>
      <c r="F66" s="322">
        <v>-5.9864686284447188</v>
      </c>
      <c r="G66" s="322">
        <v>5.9846406940150976</v>
      </c>
      <c r="H66" s="322">
        <v>2.1215001145865386</v>
      </c>
      <c r="I66" s="322">
        <v>17.214851377791685</v>
      </c>
      <c r="J66" s="322">
        <v>11.941513165360696</v>
      </c>
      <c r="K66" s="322">
        <v>3.5235027184833845</v>
      </c>
      <c r="L66" s="322">
        <v>0.8117779450822038</v>
      </c>
      <c r="M66" s="322">
        <v>3.9729964881803692</v>
      </c>
      <c r="N66" s="322">
        <v>2.4171070089251012</v>
      </c>
      <c r="O66" s="322">
        <v>11.230495884262414</v>
      </c>
      <c r="P66" s="322">
        <v>10.200627667351991</v>
      </c>
      <c r="Q66" s="322">
        <v>3.7621189144233069</v>
      </c>
      <c r="R66" s="37" t="s">
        <v>47</v>
      </c>
      <c r="T66" s="2"/>
      <c r="U66" s="2"/>
      <c r="V66" s="2"/>
      <c r="W66" s="2"/>
      <c r="X66" s="2"/>
      <c r="Y66" s="2"/>
      <c r="Z66" s="2"/>
      <c r="AA66" s="2"/>
      <c r="AB66" s="2"/>
      <c r="AC66" s="2"/>
      <c r="AD66" s="2"/>
      <c r="AE66" s="2"/>
    </row>
    <row r="67" spans="2:31" ht="25.15" customHeight="1">
      <c r="B67" s="121" t="s">
        <v>71</v>
      </c>
      <c r="C67" s="184" t="s">
        <v>48</v>
      </c>
      <c r="D67" s="257" t="s">
        <v>116</v>
      </c>
      <c r="E67" s="322">
        <v>8.3300643273080297</v>
      </c>
      <c r="F67" s="322">
        <v>6.0614270575537255</v>
      </c>
      <c r="G67" s="322">
        <v>3.8182186784732286</v>
      </c>
      <c r="H67" s="322">
        <v>9.1210015614221476</v>
      </c>
      <c r="I67" s="322">
        <v>-28.780261706145339</v>
      </c>
      <c r="J67" s="322">
        <v>16.06183804360488</v>
      </c>
      <c r="K67" s="322">
        <v>11.721279496607441</v>
      </c>
      <c r="L67" s="322">
        <v>2.2056925815748363</v>
      </c>
      <c r="M67" s="322">
        <v>7.4722407268488666</v>
      </c>
      <c r="N67" s="322">
        <v>-0.92128646960820681</v>
      </c>
      <c r="O67" s="322">
        <v>11.612004522067544</v>
      </c>
      <c r="P67" s="322">
        <v>10.145922727488287</v>
      </c>
      <c r="Q67" s="322">
        <v>4.1828823265749104</v>
      </c>
      <c r="R67" s="37" t="s">
        <v>125</v>
      </c>
      <c r="T67" s="2"/>
      <c r="U67" s="2"/>
      <c r="V67" s="2"/>
      <c r="W67" s="2"/>
      <c r="X67" s="2"/>
      <c r="Y67" s="2"/>
      <c r="Z67" s="2"/>
      <c r="AA67" s="2"/>
      <c r="AB67" s="2"/>
      <c r="AC67" s="2"/>
      <c r="AD67" s="2"/>
      <c r="AE67" s="2"/>
    </row>
    <row r="68" spans="2:31" ht="25.15" customHeight="1">
      <c r="B68" s="121" t="s">
        <v>72</v>
      </c>
      <c r="C68" s="184" t="s">
        <v>14</v>
      </c>
      <c r="D68" s="257" t="s">
        <v>116</v>
      </c>
      <c r="E68" s="322">
        <v>-0.55007690530574083</v>
      </c>
      <c r="F68" s="322">
        <v>-4.9863348185434475</v>
      </c>
      <c r="G68" s="322">
        <v>-0.23863457538538801</v>
      </c>
      <c r="H68" s="322">
        <v>3.4904878573313036</v>
      </c>
      <c r="I68" s="322">
        <v>6.2402317801634632</v>
      </c>
      <c r="J68" s="322">
        <v>-0.21582482282900273</v>
      </c>
      <c r="K68" s="322">
        <v>1.4915296384329091</v>
      </c>
      <c r="L68" s="322">
        <v>2.3522678654757323</v>
      </c>
      <c r="M68" s="322">
        <v>-1.9270038514491161</v>
      </c>
      <c r="N68" s="322">
        <v>-5.9109393774612222</v>
      </c>
      <c r="O68" s="322">
        <v>2.1162720692600612</v>
      </c>
      <c r="P68" s="322">
        <v>5.0416300005286852</v>
      </c>
      <c r="Q68" s="322">
        <v>8.869330867379265</v>
      </c>
      <c r="R68" s="37" t="s">
        <v>49</v>
      </c>
      <c r="T68" s="2"/>
      <c r="U68" s="2"/>
      <c r="V68" s="2"/>
      <c r="W68" s="2"/>
      <c r="X68" s="2"/>
      <c r="Y68" s="2"/>
      <c r="Z68" s="2"/>
      <c r="AA68" s="2"/>
      <c r="AB68" s="2"/>
      <c r="AC68" s="2"/>
      <c r="AD68" s="2"/>
      <c r="AE68" s="2"/>
    </row>
    <row r="69" spans="2:31" ht="25.15" customHeight="1">
      <c r="B69" s="121" t="s">
        <v>73</v>
      </c>
      <c r="C69" s="184" t="s">
        <v>50</v>
      </c>
      <c r="D69" s="257" t="s">
        <v>116</v>
      </c>
      <c r="E69" s="322">
        <v>4.5014570066344239</v>
      </c>
      <c r="F69" s="322">
        <v>-12.396541609000089</v>
      </c>
      <c r="G69" s="322">
        <v>6.8487128089224969</v>
      </c>
      <c r="H69" s="322">
        <v>4.2699368780143132</v>
      </c>
      <c r="I69" s="322">
        <v>11.911786655869294</v>
      </c>
      <c r="J69" s="322">
        <v>1.1624251803442842</v>
      </c>
      <c r="K69" s="322">
        <v>9.859334608409176</v>
      </c>
      <c r="L69" s="322">
        <v>1.4456255754895286</v>
      </c>
      <c r="M69" s="322">
        <v>3.3904863888532644</v>
      </c>
      <c r="N69" s="322">
        <v>-6.5486422858369924</v>
      </c>
      <c r="O69" s="322">
        <v>7.3333494347907591</v>
      </c>
      <c r="P69" s="322">
        <v>2.8928089083299469</v>
      </c>
      <c r="Q69" s="322">
        <v>3.8926929603495974</v>
      </c>
      <c r="R69" s="37" t="s">
        <v>126</v>
      </c>
      <c r="T69" s="2"/>
      <c r="U69" s="2"/>
      <c r="V69" s="2"/>
      <c r="W69" s="2"/>
      <c r="X69" s="2"/>
      <c r="Y69" s="2"/>
      <c r="Z69" s="2"/>
      <c r="AA69" s="2"/>
      <c r="AB69" s="2"/>
      <c r="AC69" s="2"/>
      <c r="AD69" s="2"/>
      <c r="AE69" s="2"/>
    </row>
    <row r="70" spans="2:31" ht="25.15" customHeight="1">
      <c r="B70" s="121" t="s">
        <v>74</v>
      </c>
      <c r="C70" s="184" t="s">
        <v>51</v>
      </c>
      <c r="D70" s="257" t="s">
        <v>116</v>
      </c>
      <c r="E70" s="322">
        <v>5.4191037104206474</v>
      </c>
      <c r="F70" s="322">
        <v>3.7430005738418926</v>
      </c>
      <c r="G70" s="322">
        <v>2.0728919536598944</v>
      </c>
      <c r="H70" s="322">
        <v>11.781092662303717</v>
      </c>
      <c r="I70" s="322">
        <v>-4.3328599174877525</v>
      </c>
      <c r="J70" s="322">
        <v>3.0500550159995976</v>
      </c>
      <c r="K70" s="322">
        <v>5.5742626680788332</v>
      </c>
      <c r="L70" s="322">
        <v>2.0525436763777272</v>
      </c>
      <c r="M70" s="322">
        <v>3.7076455838777944</v>
      </c>
      <c r="N70" s="322">
        <v>-33.012321825745275</v>
      </c>
      <c r="O70" s="322">
        <v>12.033631286156044</v>
      </c>
      <c r="P70" s="322">
        <v>19.313252104968193</v>
      </c>
      <c r="Q70" s="322">
        <v>11.517243000060073</v>
      </c>
      <c r="R70" s="37" t="s">
        <v>127</v>
      </c>
      <c r="T70" s="2"/>
      <c r="U70" s="2"/>
      <c r="V70" s="2"/>
      <c r="W70" s="2"/>
      <c r="X70" s="2"/>
      <c r="Y70" s="2"/>
      <c r="Z70" s="2"/>
      <c r="AA70" s="2"/>
      <c r="AB70" s="2"/>
      <c r="AC70" s="2"/>
      <c r="AD70" s="2"/>
      <c r="AE70" s="2"/>
    </row>
    <row r="71" spans="2:31" ht="25.15" customHeight="1">
      <c r="B71" s="121" t="s">
        <v>75</v>
      </c>
      <c r="C71" s="184" t="s">
        <v>52</v>
      </c>
      <c r="D71" s="257" t="s">
        <v>116</v>
      </c>
      <c r="E71" s="322">
        <v>15.370772614659355</v>
      </c>
      <c r="F71" s="322">
        <v>2.4792936751278694</v>
      </c>
      <c r="G71" s="322">
        <v>2.5297134098472895</v>
      </c>
      <c r="H71" s="322">
        <v>7.3725004879606315</v>
      </c>
      <c r="I71" s="322">
        <v>10.666886224604809</v>
      </c>
      <c r="J71" s="322">
        <v>6.8855913054616247</v>
      </c>
      <c r="K71" s="322">
        <v>7.2176845889796226</v>
      </c>
      <c r="L71" s="322">
        <v>-0.31474382491072372</v>
      </c>
      <c r="M71" s="322">
        <v>12.312402914853493</v>
      </c>
      <c r="N71" s="322">
        <v>-30.136650363609728</v>
      </c>
      <c r="O71" s="322">
        <v>11.242674869913216</v>
      </c>
      <c r="P71" s="322">
        <v>12.232792826814931</v>
      </c>
      <c r="Q71" s="322">
        <v>5.491669294746937</v>
      </c>
      <c r="R71" s="37" t="s">
        <v>128</v>
      </c>
      <c r="T71" s="2"/>
      <c r="U71" s="2"/>
      <c r="V71" s="2"/>
      <c r="W71" s="2"/>
      <c r="X71" s="2"/>
      <c r="Y71" s="2"/>
      <c r="Z71" s="2"/>
      <c r="AA71" s="2"/>
      <c r="AB71" s="2"/>
      <c r="AC71" s="2"/>
      <c r="AD71" s="2"/>
      <c r="AE71" s="2"/>
    </row>
    <row r="72" spans="2:31" ht="25.15" customHeight="1">
      <c r="B72" s="121" t="s">
        <v>76</v>
      </c>
      <c r="C72" s="184" t="s">
        <v>53</v>
      </c>
      <c r="D72" s="257" t="s">
        <v>116</v>
      </c>
      <c r="E72" s="322">
        <v>0.42964999342511856</v>
      </c>
      <c r="F72" s="322">
        <v>-4.9977332122621458</v>
      </c>
      <c r="G72" s="322">
        <v>5.6690262363723543</v>
      </c>
      <c r="H72" s="322">
        <v>6.8488168349861045</v>
      </c>
      <c r="I72" s="322">
        <v>6.1546119130843513</v>
      </c>
      <c r="J72" s="322">
        <v>7.8004351325578147</v>
      </c>
      <c r="K72" s="322">
        <v>6.6291003096017542</v>
      </c>
      <c r="L72" s="322">
        <v>-0.85081573376156738</v>
      </c>
      <c r="M72" s="322">
        <v>-0.19393575776416316</v>
      </c>
      <c r="N72" s="322">
        <v>3.5839462309286807</v>
      </c>
      <c r="O72" s="322">
        <v>3.4656757830063833</v>
      </c>
      <c r="P72" s="322">
        <v>6.2432735842998577</v>
      </c>
      <c r="Q72" s="322">
        <v>5.3648634775110615</v>
      </c>
      <c r="R72" s="37" t="s">
        <v>129</v>
      </c>
      <c r="T72" s="2"/>
      <c r="U72" s="2"/>
      <c r="V72" s="2"/>
      <c r="W72" s="2"/>
      <c r="X72" s="2"/>
      <c r="Y72" s="2"/>
      <c r="Z72" s="2"/>
      <c r="AA72" s="2"/>
      <c r="AB72" s="2"/>
      <c r="AC72" s="2"/>
      <c r="AD72" s="2"/>
      <c r="AE72" s="2"/>
    </row>
    <row r="73" spans="2:31" ht="25.15" customHeight="1">
      <c r="B73" s="121" t="s">
        <v>77</v>
      </c>
      <c r="C73" s="185" t="s">
        <v>54</v>
      </c>
      <c r="D73" s="258" t="s">
        <v>116</v>
      </c>
      <c r="E73" s="228">
        <v>1.9858595291576631</v>
      </c>
      <c r="F73" s="228">
        <v>15.023603126564812</v>
      </c>
      <c r="G73" s="228">
        <v>18.404592792860754</v>
      </c>
      <c r="H73" s="228">
        <v>10.991873247748373</v>
      </c>
      <c r="I73" s="228">
        <v>8.7921122193157064</v>
      </c>
      <c r="J73" s="228">
        <v>6.850774479076116</v>
      </c>
      <c r="K73" s="228">
        <v>-0.9124735097226333</v>
      </c>
      <c r="L73" s="228">
        <v>-4.98722786744068</v>
      </c>
      <c r="M73" s="228">
        <v>2.7604474513541977</v>
      </c>
      <c r="N73" s="228">
        <v>-2.4547519959116859</v>
      </c>
      <c r="O73" s="228">
        <v>4.0473038116698667</v>
      </c>
      <c r="P73" s="228">
        <v>6.566301452919987</v>
      </c>
      <c r="Q73" s="228">
        <v>14.344357688709408</v>
      </c>
      <c r="R73" s="186" t="s">
        <v>55</v>
      </c>
      <c r="T73" s="2"/>
      <c r="U73" s="2"/>
      <c r="V73" s="2"/>
      <c r="W73" s="2"/>
      <c r="X73" s="2"/>
      <c r="Y73" s="2"/>
      <c r="Z73" s="2"/>
      <c r="AA73" s="2"/>
      <c r="AB73" s="2"/>
      <c r="AC73" s="2"/>
      <c r="AD73" s="2"/>
      <c r="AE73" s="2"/>
    </row>
    <row r="74" spans="2:31" ht="25.15" customHeight="1">
      <c r="B74" s="121" t="s">
        <v>78</v>
      </c>
      <c r="C74" s="184" t="s">
        <v>56</v>
      </c>
      <c r="D74" s="257" t="s">
        <v>116</v>
      </c>
      <c r="E74" s="322">
        <v>8.5937962674523138</v>
      </c>
      <c r="F74" s="322">
        <v>13.549630771542564</v>
      </c>
      <c r="G74" s="322">
        <v>1.0041040587427608</v>
      </c>
      <c r="H74" s="322">
        <v>8.502262021199547</v>
      </c>
      <c r="I74" s="322">
        <v>3.3144186705896139</v>
      </c>
      <c r="J74" s="322">
        <v>9.9140513345869827</v>
      </c>
      <c r="K74" s="322">
        <v>6.7545270137761682</v>
      </c>
      <c r="L74" s="322">
        <v>-2.4582527034237245</v>
      </c>
      <c r="M74" s="322">
        <v>5.1249738864727723</v>
      </c>
      <c r="N74" s="322">
        <v>-13.062359029785743</v>
      </c>
      <c r="O74" s="322">
        <v>6.1325879295582864</v>
      </c>
      <c r="P74" s="322">
        <v>11.592343835922581</v>
      </c>
      <c r="Q74" s="322">
        <v>5.8685851614255657</v>
      </c>
      <c r="R74" s="37" t="s">
        <v>130</v>
      </c>
      <c r="T74" s="2"/>
      <c r="U74" s="2"/>
      <c r="V74" s="2"/>
      <c r="W74" s="2"/>
      <c r="X74" s="2"/>
      <c r="Y74" s="2"/>
      <c r="Z74" s="2"/>
      <c r="AA74" s="2"/>
      <c r="AB74" s="2"/>
      <c r="AC74" s="2"/>
      <c r="AD74" s="2"/>
      <c r="AE74" s="2"/>
    </row>
    <row r="75" spans="2:31" ht="25.15" customHeight="1">
      <c r="B75" s="121" t="s">
        <v>187</v>
      </c>
      <c r="C75" s="187" t="s">
        <v>188</v>
      </c>
      <c r="D75" s="257" t="s">
        <v>116</v>
      </c>
      <c r="E75" s="322">
        <v>3.4027730476128504</v>
      </c>
      <c r="F75" s="322">
        <v>-1.4857421909818869</v>
      </c>
      <c r="G75" s="322">
        <v>2.0269945164032688</v>
      </c>
      <c r="H75" s="322">
        <v>7.1807729777450646</v>
      </c>
      <c r="I75" s="322">
        <v>3.881081032477196</v>
      </c>
      <c r="J75" s="322">
        <v>5.5671453859370779</v>
      </c>
      <c r="K75" s="322">
        <v>2.7618123488393875</v>
      </c>
      <c r="L75" s="322">
        <v>-0.82614630985189397</v>
      </c>
      <c r="M75" s="322">
        <v>-3.400302544053635</v>
      </c>
      <c r="N75" s="322">
        <v>-2.5887180507200624</v>
      </c>
      <c r="O75" s="322">
        <v>2.7701207803614514</v>
      </c>
      <c r="P75" s="322">
        <v>11.272804337407806</v>
      </c>
      <c r="Q75" s="322">
        <v>1.3709059745781627</v>
      </c>
      <c r="R75" s="37" t="s">
        <v>189</v>
      </c>
      <c r="T75" s="2"/>
      <c r="U75" s="2"/>
      <c r="V75" s="2"/>
      <c r="W75" s="2"/>
      <c r="X75" s="2"/>
      <c r="Y75" s="2"/>
      <c r="Z75" s="2"/>
      <c r="AA75" s="2"/>
      <c r="AB75" s="2"/>
      <c r="AC75" s="2"/>
      <c r="AD75" s="2"/>
      <c r="AE75" s="2"/>
    </row>
    <row r="76" spans="2:31" ht="25.15" customHeight="1">
      <c r="B76" s="121" t="s">
        <v>79</v>
      </c>
      <c r="C76" s="185" t="s">
        <v>57</v>
      </c>
      <c r="D76" s="258" t="s">
        <v>116</v>
      </c>
      <c r="E76" s="228">
        <v>2.679727222495254</v>
      </c>
      <c r="F76" s="228">
        <v>6.1946619401674008</v>
      </c>
      <c r="G76" s="228">
        <v>11.490586677055559</v>
      </c>
      <c r="H76" s="228">
        <v>4.3778175553977228</v>
      </c>
      <c r="I76" s="228">
        <v>1.0267067530527862</v>
      </c>
      <c r="J76" s="228">
        <v>15.962988933701737</v>
      </c>
      <c r="K76" s="228">
        <v>-4.310644032837974</v>
      </c>
      <c r="L76" s="228">
        <v>-2.3503305129480623</v>
      </c>
      <c r="M76" s="228">
        <v>-1.1372971249952624</v>
      </c>
      <c r="N76" s="228">
        <v>12.913959670399189</v>
      </c>
      <c r="O76" s="228">
        <v>-0.69801772644476623</v>
      </c>
      <c r="P76" s="228">
        <v>-1.7216012440785411</v>
      </c>
      <c r="Q76" s="228">
        <v>3.7573141052203329</v>
      </c>
      <c r="R76" s="186" t="s">
        <v>131</v>
      </c>
      <c r="T76" s="2"/>
      <c r="U76" s="2"/>
      <c r="V76" s="2"/>
      <c r="W76" s="2"/>
      <c r="X76" s="2"/>
      <c r="Y76" s="2"/>
      <c r="Z76" s="2"/>
      <c r="AA76" s="2"/>
      <c r="AB76" s="2"/>
      <c r="AC76" s="2"/>
      <c r="AD76" s="2"/>
      <c r="AE76" s="2"/>
    </row>
    <row r="77" spans="2:31" ht="25.15" customHeight="1">
      <c r="B77" s="121" t="s">
        <v>80</v>
      </c>
      <c r="C77" s="184" t="s">
        <v>58</v>
      </c>
      <c r="D77" s="257" t="s">
        <v>116</v>
      </c>
      <c r="E77" s="322">
        <v>1.3046334449370089</v>
      </c>
      <c r="F77" s="322">
        <v>-2.9115763001864026</v>
      </c>
      <c r="G77" s="322">
        <v>5.4687609842847928</v>
      </c>
      <c r="H77" s="322">
        <v>7.9422640456374927</v>
      </c>
      <c r="I77" s="322">
        <v>7.9948683348379568</v>
      </c>
      <c r="J77" s="322">
        <v>12.276915069089878</v>
      </c>
      <c r="K77" s="322">
        <v>8.3885261061164904</v>
      </c>
      <c r="L77" s="322">
        <v>5.5430038158952311</v>
      </c>
      <c r="M77" s="322">
        <v>8.3067830372568032</v>
      </c>
      <c r="N77" s="322">
        <v>10.443776302596785</v>
      </c>
      <c r="O77" s="322">
        <v>2.1460137045137495</v>
      </c>
      <c r="P77" s="322">
        <v>6.2888983082276972</v>
      </c>
      <c r="Q77" s="322">
        <v>4.1888279943203655</v>
      </c>
      <c r="R77" s="37" t="s">
        <v>59</v>
      </c>
      <c r="T77" s="2"/>
      <c r="U77" s="2"/>
      <c r="V77" s="2"/>
      <c r="W77" s="2"/>
      <c r="X77" s="2"/>
      <c r="Y77" s="2"/>
      <c r="Z77" s="2"/>
      <c r="AA77" s="2"/>
      <c r="AB77" s="2"/>
      <c r="AC77" s="2"/>
      <c r="AD77" s="2"/>
      <c r="AE77" s="2"/>
    </row>
    <row r="78" spans="2:31" ht="25.15" customHeight="1">
      <c r="B78" s="121" t="s">
        <v>81</v>
      </c>
      <c r="C78" s="184" t="s">
        <v>60</v>
      </c>
      <c r="D78" s="257" t="s">
        <v>116</v>
      </c>
      <c r="E78" s="322">
        <v>21.450907186936895</v>
      </c>
      <c r="F78" s="322">
        <v>38.099879362969816</v>
      </c>
      <c r="G78" s="322">
        <v>22.865803075555036</v>
      </c>
      <c r="H78" s="322">
        <v>7.5948488451792251</v>
      </c>
      <c r="I78" s="322">
        <v>2.6283026675868681</v>
      </c>
      <c r="J78" s="322">
        <v>-5.5333478533851181</v>
      </c>
      <c r="K78" s="322">
        <v>2.4464886638598804</v>
      </c>
      <c r="L78" s="322">
        <v>5.4868858981298452</v>
      </c>
      <c r="M78" s="322">
        <v>7.3371268415589386</v>
      </c>
      <c r="N78" s="322">
        <v>5.6878243602601852</v>
      </c>
      <c r="O78" s="322">
        <v>27.09110956454812</v>
      </c>
      <c r="P78" s="322">
        <v>8.4311918921998075</v>
      </c>
      <c r="Q78" s="322">
        <v>4.0910272525203739</v>
      </c>
      <c r="R78" s="37" t="s">
        <v>132</v>
      </c>
      <c r="T78" s="2"/>
      <c r="U78" s="2"/>
      <c r="V78" s="2"/>
      <c r="W78" s="2"/>
      <c r="X78" s="2"/>
      <c r="Y78" s="2"/>
      <c r="Z78" s="2"/>
      <c r="AA78" s="2"/>
      <c r="AB78" s="2"/>
      <c r="AC78" s="2"/>
      <c r="AD78" s="2"/>
      <c r="AE78" s="2"/>
    </row>
    <row r="79" spans="2:31" ht="25.15" customHeight="1">
      <c r="B79" s="121" t="s">
        <v>82</v>
      </c>
      <c r="C79" s="184" t="s">
        <v>61</v>
      </c>
      <c r="D79" s="257" t="s">
        <v>116</v>
      </c>
      <c r="E79" s="322">
        <v>-7.9900337381829107</v>
      </c>
      <c r="F79" s="322">
        <v>-0.15296989321523791</v>
      </c>
      <c r="G79" s="322">
        <v>-4.8602681807280224</v>
      </c>
      <c r="H79" s="322">
        <v>6.5449227218358441</v>
      </c>
      <c r="I79" s="322">
        <v>7.2175063633063585</v>
      </c>
      <c r="J79" s="322">
        <v>10.824534318844602</v>
      </c>
      <c r="K79" s="322">
        <v>23.901152873704422</v>
      </c>
      <c r="L79" s="322">
        <v>-4.2024936550132619</v>
      </c>
      <c r="M79" s="322">
        <v>-0.68261627194791119</v>
      </c>
      <c r="N79" s="322">
        <v>-16.708039469513103</v>
      </c>
      <c r="O79" s="322">
        <v>5.4235893136197921</v>
      </c>
      <c r="P79" s="322">
        <v>8.3597931297787689</v>
      </c>
      <c r="Q79" s="322">
        <v>4.3004450415414563</v>
      </c>
      <c r="R79" s="37" t="s">
        <v>133</v>
      </c>
      <c r="T79" s="2"/>
      <c r="U79" s="2"/>
      <c r="V79" s="2"/>
      <c r="W79" s="2"/>
      <c r="X79" s="2"/>
      <c r="Y79" s="2"/>
      <c r="Z79" s="2"/>
      <c r="AA79" s="2"/>
      <c r="AB79" s="2"/>
      <c r="AC79" s="2"/>
      <c r="AD79" s="2"/>
      <c r="AE79" s="2"/>
    </row>
    <row r="80" spans="2:31" ht="25.15" customHeight="1">
      <c r="B80" s="122" t="s">
        <v>83</v>
      </c>
      <c r="C80" s="188" t="s">
        <v>114</v>
      </c>
      <c r="D80" s="259" t="s">
        <v>116</v>
      </c>
      <c r="E80" s="323">
        <v>8.4715204392950447</v>
      </c>
      <c r="F80" s="323">
        <v>6.4481410535125239</v>
      </c>
      <c r="G80" s="323">
        <v>22.873843223864366</v>
      </c>
      <c r="H80" s="323">
        <v>10.913743265748966</v>
      </c>
      <c r="I80" s="323">
        <v>-1.4349830787938944</v>
      </c>
      <c r="J80" s="323">
        <v>5.9104463916529903</v>
      </c>
      <c r="K80" s="323">
        <v>2.8060071918888152</v>
      </c>
      <c r="L80" s="323">
        <v>8.4937366589088228</v>
      </c>
      <c r="M80" s="323">
        <v>16.997626424459654</v>
      </c>
      <c r="N80" s="323">
        <v>0.97237468346669242</v>
      </c>
      <c r="O80" s="323">
        <v>0.2459468756114136</v>
      </c>
      <c r="P80" s="323">
        <v>6.8774411461971718</v>
      </c>
      <c r="Q80" s="323">
        <v>1.5967096772050215</v>
      </c>
      <c r="R80" s="186" t="s">
        <v>134</v>
      </c>
      <c r="T80" s="2"/>
      <c r="U80" s="2"/>
      <c r="V80" s="2"/>
      <c r="W80" s="2"/>
      <c r="X80" s="2"/>
      <c r="Y80" s="2"/>
      <c r="Z80" s="2"/>
      <c r="AA80" s="2"/>
      <c r="AB80" s="2"/>
      <c r="AC80" s="2"/>
      <c r="AD80" s="2"/>
      <c r="AE80" s="2"/>
    </row>
    <row r="81" spans="2:32" ht="25.15" customHeight="1">
      <c r="B81" s="26"/>
      <c r="C81" s="26" t="s">
        <v>16</v>
      </c>
      <c r="D81" s="260" t="s">
        <v>116</v>
      </c>
      <c r="E81" s="228">
        <v>6.2161218133717</v>
      </c>
      <c r="F81" s="228">
        <v>1.8244807887022541</v>
      </c>
      <c r="G81" s="228">
        <v>5.055559654259989</v>
      </c>
      <c r="H81" s="228">
        <v>4.1656918425617695</v>
      </c>
      <c r="I81" s="228">
        <v>6.7867728794517523</v>
      </c>
      <c r="J81" s="228">
        <v>5.5614907549683235</v>
      </c>
      <c r="K81" s="228">
        <v>0.73506871316519895</v>
      </c>
      <c r="L81" s="228">
        <v>1.3139138814114215</v>
      </c>
      <c r="M81" s="228">
        <v>1.1083481389307037</v>
      </c>
      <c r="N81" s="228">
        <v>-4.9570524365270874</v>
      </c>
      <c r="O81" s="228">
        <v>4.3547552992131644</v>
      </c>
      <c r="P81" s="228">
        <v>7.5096970322181988</v>
      </c>
      <c r="Q81" s="228">
        <v>3.6187065354716497</v>
      </c>
      <c r="R81" s="24" t="s">
        <v>20</v>
      </c>
      <c r="T81" s="2"/>
      <c r="U81" s="2"/>
      <c r="V81" s="2"/>
      <c r="W81" s="2"/>
      <c r="X81" s="2"/>
      <c r="Y81" s="2"/>
      <c r="Z81" s="2"/>
      <c r="AA81" s="2"/>
      <c r="AB81" s="2"/>
      <c r="AC81" s="2"/>
      <c r="AD81" s="2"/>
      <c r="AE81" s="2"/>
    </row>
    <row r="82" spans="2:32" ht="25.15" customHeight="1" thickBot="1">
      <c r="B82" s="75"/>
      <c r="C82" s="75" t="s">
        <v>175</v>
      </c>
      <c r="D82" s="261" t="s">
        <v>116</v>
      </c>
      <c r="E82" s="262">
        <v>4.1467020094424933</v>
      </c>
      <c r="F82" s="262">
        <v>-0.42158650705923506</v>
      </c>
      <c r="G82" s="262">
        <v>5.9499798896299527</v>
      </c>
      <c r="H82" s="262">
        <v>6.3092511567909737</v>
      </c>
      <c r="I82" s="262">
        <v>5.6456107850402226</v>
      </c>
      <c r="J82" s="262">
        <v>6.2580527974292588</v>
      </c>
      <c r="K82" s="262">
        <v>4.1607228717519318</v>
      </c>
      <c r="L82" s="262">
        <v>5.8489758161450744E-2</v>
      </c>
      <c r="M82" s="262">
        <v>2.675447933938857</v>
      </c>
      <c r="N82" s="262">
        <v>-5.4318791274737261</v>
      </c>
      <c r="O82" s="262">
        <v>6.53251402398769</v>
      </c>
      <c r="P82" s="262">
        <v>7.1400837091660785</v>
      </c>
      <c r="Q82" s="262">
        <v>6.1621555598079247</v>
      </c>
      <c r="R82" s="48" t="s">
        <v>190</v>
      </c>
      <c r="T82" s="2"/>
      <c r="U82" s="2"/>
      <c r="V82" s="2"/>
      <c r="W82" s="2"/>
      <c r="X82" s="2"/>
      <c r="Y82" s="2"/>
      <c r="Z82" s="2"/>
      <c r="AA82" s="2"/>
      <c r="AB82" s="2"/>
      <c r="AC82" s="2"/>
      <c r="AD82" s="2"/>
      <c r="AE82" s="2"/>
    </row>
    <row r="83" spans="2:32" s="2" customFormat="1" ht="24.95" customHeight="1">
      <c r="B83" s="530" t="s">
        <v>115</v>
      </c>
      <c r="C83" s="530"/>
      <c r="D83" s="530"/>
      <c r="E83" s="530"/>
      <c r="F83" s="530"/>
      <c r="G83" s="228"/>
      <c r="H83" s="228"/>
      <c r="I83" s="228"/>
      <c r="J83" s="228"/>
      <c r="K83" s="228"/>
      <c r="L83" s="228"/>
      <c r="M83" s="228"/>
      <c r="N83" s="228"/>
      <c r="O83" s="228"/>
      <c r="P83" s="228"/>
      <c r="Q83" s="228"/>
      <c r="R83" s="328" t="s">
        <v>135</v>
      </c>
      <c r="S83" s="22"/>
    </row>
    <row r="84" spans="2:32" ht="24.95" customHeight="1">
      <c r="B84" s="528" t="s">
        <v>326</v>
      </c>
      <c r="C84" s="528"/>
      <c r="D84" s="31"/>
      <c r="E84" s="31"/>
      <c r="F84" s="31"/>
      <c r="G84" s="31"/>
      <c r="H84" s="31"/>
      <c r="I84" s="31"/>
      <c r="J84" s="31"/>
      <c r="K84" s="31"/>
      <c r="L84" s="31"/>
      <c r="M84" s="31"/>
      <c r="N84" s="31"/>
      <c r="O84" s="31"/>
      <c r="P84" s="31"/>
      <c r="Q84" s="31"/>
      <c r="R84" s="313" t="s">
        <v>327</v>
      </c>
      <c r="S84" s="100"/>
    </row>
    <row r="85" spans="2:32" ht="24.95" customHeight="1">
      <c r="B85" s="528" t="s">
        <v>399</v>
      </c>
      <c r="C85" s="528"/>
      <c r="D85" s="11"/>
      <c r="E85" s="11"/>
      <c r="F85" s="12"/>
      <c r="G85" s="12"/>
      <c r="H85" s="22"/>
      <c r="I85" s="22"/>
      <c r="J85" s="22"/>
      <c r="K85" s="22"/>
      <c r="L85" s="22"/>
      <c r="M85" s="22"/>
      <c r="N85" s="177"/>
      <c r="O85" s="177"/>
      <c r="P85" s="177"/>
      <c r="Q85" s="177"/>
      <c r="R85" s="313" t="s">
        <v>325</v>
      </c>
      <c r="S85" s="22"/>
    </row>
    <row r="86" spans="2:32" ht="24.95" customHeight="1">
      <c r="B86" s="146" t="s">
        <v>192</v>
      </c>
      <c r="C86" s="146"/>
      <c r="D86" s="78"/>
      <c r="E86" s="78"/>
      <c r="F86" s="79"/>
      <c r="G86" s="80"/>
      <c r="K86" s="100"/>
      <c r="L86" s="100"/>
      <c r="M86" s="100"/>
      <c r="N86" s="100"/>
      <c r="O86" s="100"/>
      <c r="P86" s="100"/>
      <c r="Q86" s="100"/>
      <c r="R86" s="81" t="s">
        <v>551</v>
      </c>
    </row>
    <row r="87" spans="2:32" ht="31.35" customHeight="1">
      <c r="B87" s="81"/>
      <c r="C87" s="81"/>
      <c r="D87" s="78"/>
      <c r="E87" s="78"/>
      <c r="F87" s="79"/>
      <c r="G87" s="80"/>
      <c r="K87" s="100"/>
      <c r="L87" s="100"/>
      <c r="M87" s="100"/>
      <c r="N87" s="100"/>
      <c r="O87" s="100"/>
      <c r="P87" s="100"/>
      <c r="Q87" s="100"/>
      <c r="R87" s="81"/>
    </row>
    <row r="88" spans="2:32" ht="25.15" customHeight="1">
      <c r="B88" s="507" t="s">
        <v>386</v>
      </c>
      <c r="C88" s="507"/>
      <c r="D88" s="507"/>
      <c r="E88" s="507"/>
      <c r="F88" s="507"/>
      <c r="G88" s="507"/>
      <c r="H88" s="507"/>
      <c r="I88" s="507"/>
      <c r="J88" s="507"/>
      <c r="K88" s="507"/>
      <c r="L88" s="507"/>
      <c r="M88" s="507"/>
      <c r="N88" s="507"/>
      <c r="O88" s="507"/>
      <c r="P88" s="507"/>
      <c r="Q88" s="507"/>
      <c r="R88" s="507"/>
    </row>
    <row r="89" spans="2:32" ht="25.15" customHeight="1">
      <c r="B89" s="529" t="s">
        <v>382</v>
      </c>
      <c r="C89" s="529"/>
      <c r="D89" s="529"/>
      <c r="E89" s="529"/>
      <c r="F89" s="529"/>
      <c r="G89" s="529"/>
      <c r="H89" s="529"/>
      <c r="I89" s="529"/>
      <c r="J89" s="529"/>
      <c r="K89" s="529"/>
      <c r="L89" s="529"/>
      <c r="M89" s="529"/>
      <c r="N89" s="529"/>
      <c r="O89" s="529"/>
      <c r="P89" s="529"/>
      <c r="Q89" s="529"/>
      <c r="R89" s="529"/>
    </row>
    <row r="90" spans="2:32" ht="25.15" customHeight="1">
      <c r="B90" s="179"/>
      <c r="C90" s="179"/>
      <c r="D90" s="179"/>
      <c r="E90" s="179"/>
      <c r="F90" s="179"/>
      <c r="G90" s="179"/>
      <c r="H90" s="179"/>
      <c r="I90" s="179"/>
      <c r="J90" s="179"/>
      <c r="K90" s="179"/>
      <c r="L90" s="179"/>
      <c r="M90" s="179"/>
      <c r="N90" s="179"/>
      <c r="O90" s="179"/>
      <c r="P90" s="179"/>
      <c r="Q90" s="179"/>
      <c r="R90" s="211" t="s">
        <v>388</v>
      </c>
    </row>
    <row r="91" spans="2:32" ht="25.15" customHeight="1">
      <c r="B91" s="3" t="s">
        <v>67</v>
      </c>
      <c r="C91" s="88" t="s">
        <v>117</v>
      </c>
      <c r="D91" s="114">
        <v>2010</v>
      </c>
      <c r="E91" s="181">
        <v>2011</v>
      </c>
      <c r="F91" s="181">
        <v>2012</v>
      </c>
      <c r="G91" s="226">
        <v>2013</v>
      </c>
      <c r="H91" s="226">
        <v>2014</v>
      </c>
      <c r="I91" s="226">
        <v>2015</v>
      </c>
      <c r="J91" s="226">
        <v>2016</v>
      </c>
      <c r="K91" s="181">
        <v>2017</v>
      </c>
      <c r="L91" s="5">
        <v>2018</v>
      </c>
      <c r="M91" s="181">
        <v>2019</v>
      </c>
      <c r="N91" s="181">
        <v>2020</v>
      </c>
      <c r="O91" s="181">
        <v>2021</v>
      </c>
      <c r="P91" s="181" t="s">
        <v>185</v>
      </c>
      <c r="Q91" s="181" t="s">
        <v>186</v>
      </c>
      <c r="R91" s="3" t="s">
        <v>118</v>
      </c>
    </row>
    <row r="92" spans="2:32" ht="25.15" customHeight="1">
      <c r="B92" s="120"/>
      <c r="C92" s="58" t="s">
        <v>102</v>
      </c>
      <c r="D92" s="225">
        <v>264048.77506154834</v>
      </c>
      <c r="E92" s="225">
        <v>281799.71515753976</v>
      </c>
      <c r="F92" s="225">
        <v>283600.09050774237</v>
      </c>
      <c r="G92" s="225">
        <v>293581.18493111641</v>
      </c>
      <c r="H92" s="225">
        <v>303839.78256549488</v>
      </c>
      <c r="I92" s="225">
        <v>325188.40513588674</v>
      </c>
      <c r="J92" s="225">
        <v>340748.32845549239</v>
      </c>
      <c r="K92" s="225">
        <v>344958.20703841152</v>
      </c>
      <c r="L92" s="225">
        <v>352296.14061229065</v>
      </c>
      <c r="M92" s="225">
        <v>355793.87015816552</v>
      </c>
      <c r="N92" s="225">
        <v>333292.60107034829</v>
      </c>
      <c r="O92" s="225">
        <v>349255.59490585123</v>
      </c>
      <c r="P92" s="225">
        <v>378062.64934295462</v>
      </c>
      <c r="Q92" s="225">
        <v>387931.34716646961</v>
      </c>
      <c r="R92" s="23" t="s">
        <v>44</v>
      </c>
      <c r="S92" s="137"/>
      <c r="T92" s="137"/>
      <c r="U92" s="137"/>
      <c r="V92" s="137"/>
      <c r="W92" s="137"/>
      <c r="X92" s="137"/>
      <c r="Y92" s="137"/>
      <c r="Z92" s="137"/>
      <c r="AA92" s="137"/>
      <c r="AB92" s="137"/>
      <c r="AC92" s="137"/>
      <c r="AD92" s="137"/>
      <c r="AE92" s="137"/>
      <c r="AF92" s="137"/>
    </row>
    <row r="93" spans="2:32" ht="25.15" customHeight="1">
      <c r="B93" s="121" t="s">
        <v>68</v>
      </c>
      <c r="C93" s="184" t="s">
        <v>45</v>
      </c>
      <c r="D93" s="251">
        <v>2206.4668976268977</v>
      </c>
      <c r="E93" s="251">
        <v>2324.7097289226294</v>
      </c>
      <c r="F93" s="251">
        <v>2413.5419909048792</v>
      </c>
      <c r="G93" s="251">
        <v>2395.5633178076678</v>
      </c>
      <c r="H93" s="251">
        <v>2391.5835305258884</v>
      </c>
      <c r="I93" s="251">
        <v>2401.1390542119725</v>
      </c>
      <c r="J93" s="251">
        <v>2497.5499399755513</v>
      </c>
      <c r="K93" s="251">
        <v>2606.7824625438916</v>
      </c>
      <c r="L93" s="251">
        <v>2734.6220901246697</v>
      </c>
      <c r="M93" s="251">
        <v>3007.0048701284963</v>
      </c>
      <c r="N93" s="251">
        <v>2914.4783369097995</v>
      </c>
      <c r="O93" s="251">
        <v>3708.0480173026017</v>
      </c>
      <c r="P93" s="251">
        <v>3494.965735044158</v>
      </c>
      <c r="Q93" s="251">
        <v>3527.3866505341598</v>
      </c>
      <c r="R93" s="37" t="s">
        <v>123</v>
      </c>
      <c r="S93" s="137"/>
      <c r="T93" s="137"/>
      <c r="U93" s="137"/>
      <c r="V93" s="137"/>
      <c r="W93" s="137"/>
      <c r="X93" s="137"/>
      <c r="Y93" s="137"/>
      <c r="Z93" s="137"/>
      <c r="AA93" s="137"/>
      <c r="AB93" s="137"/>
      <c r="AC93" s="137"/>
      <c r="AD93" s="137"/>
      <c r="AE93" s="137"/>
      <c r="AF93" s="137"/>
    </row>
    <row r="94" spans="2:32" ht="34.5" customHeight="1">
      <c r="B94" s="121" t="s">
        <v>69</v>
      </c>
      <c r="C94" s="184" t="s">
        <v>46</v>
      </c>
      <c r="D94" s="251">
        <v>89174.288873440208</v>
      </c>
      <c r="E94" s="251">
        <v>99084.25260773889</v>
      </c>
      <c r="F94" s="251">
        <v>105828.09369560349</v>
      </c>
      <c r="G94" s="251">
        <v>109220.96100969406</v>
      </c>
      <c r="H94" s="251">
        <v>108800.72891140719</v>
      </c>
      <c r="I94" s="251">
        <v>118997.61310471568</v>
      </c>
      <c r="J94" s="251">
        <v>123801.78181067033</v>
      </c>
      <c r="K94" s="251">
        <v>115233.03241529196</v>
      </c>
      <c r="L94" s="251">
        <v>120365.38437786505</v>
      </c>
      <c r="M94" s="251">
        <v>117180.2327653985</v>
      </c>
      <c r="N94" s="251">
        <v>112777.49264336581</v>
      </c>
      <c r="O94" s="251">
        <v>111590.67012948632</v>
      </c>
      <c r="P94" s="251">
        <v>121073.36576901709</v>
      </c>
      <c r="Q94" s="251">
        <v>117325.68960367916</v>
      </c>
      <c r="R94" s="37" t="s">
        <v>124</v>
      </c>
      <c r="S94" s="137"/>
      <c r="T94" s="137"/>
      <c r="U94" s="137"/>
      <c r="V94" s="137"/>
      <c r="W94" s="137"/>
      <c r="X94" s="137"/>
      <c r="Y94" s="137"/>
      <c r="Z94" s="137"/>
      <c r="AA94" s="137"/>
      <c r="AB94" s="137"/>
      <c r="AC94" s="137"/>
      <c r="AD94" s="137"/>
      <c r="AE94" s="137"/>
      <c r="AF94" s="137"/>
    </row>
    <row r="95" spans="2:32" ht="25.15" customHeight="1">
      <c r="B95" s="121" t="s">
        <v>70</v>
      </c>
      <c r="C95" s="184" t="s">
        <v>13</v>
      </c>
      <c r="D95" s="251">
        <v>25442.288286352719</v>
      </c>
      <c r="E95" s="251">
        <v>27183.734369820286</v>
      </c>
      <c r="F95" s="251">
        <v>25556.388639731249</v>
      </c>
      <c r="G95" s="251">
        <v>27085.846674185261</v>
      </c>
      <c r="H95" s="251">
        <v>27660.472942414835</v>
      </c>
      <c r="I95" s="251">
        <v>32422.182249845828</v>
      </c>
      <c r="J95" s="251">
        <v>36293.881411708411</v>
      </c>
      <c r="K95" s="251">
        <v>37572.69730989309</v>
      </c>
      <c r="L95" s="251">
        <v>37877.704180027293</v>
      </c>
      <c r="M95" s="251">
        <v>39382.584036903128</v>
      </c>
      <c r="N95" s="251">
        <v>40334.503235954937</v>
      </c>
      <c r="O95" s="251">
        <v>44864.267961806545</v>
      </c>
      <c r="P95" s="251">
        <v>49440.704892273519</v>
      </c>
      <c r="Q95" s="251">
        <v>51300.723002449951</v>
      </c>
      <c r="R95" s="37" t="s">
        <v>47</v>
      </c>
      <c r="S95" s="137"/>
      <c r="T95" s="137"/>
      <c r="U95" s="137"/>
      <c r="V95" s="137"/>
      <c r="W95" s="137"/>
      <c r="X95" s="137"/>
      <c r="Y95" s="137"/>
      <c r="Z95" s="137"/>
      <c r="AA95" s="137"/>
      <c r="AB95" s="137"/>
      <c r="AC95" s="137"/>
      <c r="AD95" s="137"/>
      <c r="AE95" s="137"/>
      <c r="AF95" s="137"/>
    </row>
    <row r="96" spans="2:32" ht="25.15" customHeight="1">
      <c r="B96" s="121" t="s">
        <v>71</v>
      </c>
      <c r="C96" s="184" t="s">
        <v>48</v>
      </c>
      <c r="D96" s="251">
        <v>7213.3031272688759</v>
      </c>
      <c r="E96" s="251">
        <v>7814.1759178940956</v>
      </c>
      <c r="F96" s="251">
        <v>8287.8264913061757</v>
      </c>
      <c r="G96" s="251">
        <v>8604.2738304366812</v>
      </c>
      <c r="H96" s="251">
        <v>9389.069780859847</v>
      </c>
      <c r="I96" s="251">
        <v>6686.870926155776</v>
      </c>
      <c r="J96" s="251">
        <v>7760.9053044998172</v>
      </c>
      <c r="K96" s="251">
        <v>8670.5827067072732</v>
      </c>
      <c r="L96" s="251">
        <v>8861.8291062484259</v>
      </c>
      <c r="M96" s="251">
        <v>9524.0063098692681</v>
      </c>
      <c r="N96" s="251">
        <v>9436.2629283718106</v>
      </c>
      <c r="O96" s="251">
        <v>10532.002206328529</v>
      </c>
      <c r="P96" s="251">
        <v>11600.571011839982</v>
      </c>
      <c r="Q96" s="251">
        <v>12085.80924647601</v>
      </c>
      <c r="R96" s="37" t="s">
        <v>125</v>
      </c>
      <c r="S96" s="137"/>
      <c r="T96" s="137"/>
      <c r="U96" s="137"/>
      <c r="V96" s="137"/>
      <c r="W96" s="137"/>
      <c r="X96" s="137"/>
      <c r="Y96" s="137"/>
      <c r="Z96" s="137"/>
      <c r="AA96" s="137"/>
      <c r="AB96" s="137"/>
      <c r="AC96" s="137"/>
      <c r="AD96" s="137"/>
      <c r="AE96" s="137"/>
      <c r="AF96" s="137"/>
    </row>
    <row r="97" spans="2:32" ht="25.15" customHeight="1">
      <c r="B97" s="121" t="s">
        <v>72</v>
      </c>
      <c r="C97" s="184" t="s">
        <v>14</v>
      </c>
      <c r="D97" s="251">
        <v>33303.197681398495</v>
      </c>
      <c r="E97" s="251">
        <v>33120.004482224802</v>
      </c>
      <c r="F97" s="251">
        <v>31468.530166824476</v>
      </c>
      <c r="G97" s="251">
        <v>31393.435373480854</v>
      </c>
      <c r="H97" s="251">
        <v>32489.219423191353</v>
      </c>
      <c r="I97" s="251">
        <v>34516.622018764378</v>
      </c>
      <c r="J97" s="251">
        <v>34442.126580445823</v>
      </c>
      <c r="K97" s="251">
        <v>34955.841106499756</v>
      </c>
      <c r="L97" s="251">
        <v>35778.096123954703</v>
      </c>
      <c r="M97" s="251">
        <v>35088.65083367093</v>
      </c>
      <c r="N97" s="251">
        <v>33014.581954523601</v>
      </c>
      <c r="O97" s="251">
        <v>33713.260331210156</v>
      </c>
      <c r="P97" s="251">
        <v>35412.958178224784</v>
      </c>
      <c r="Q97" s="251">
        <v>38553.85060897818</v>
      </c>
      <c r="R97" s="37" t="s">
        <v>49</v>
      </c>
      <c r="S97" s="137"/>
      <c r="T97" s="137"/>
      <c r="U97" s="137"/>
      <c r="V97" s="137"/>
      <c r="W97" s="137"/>
      <c r="X97" s="137"/>
      <c r="Y97" s="137"/>
      <c r="Z97" s="137"/>
      <c r="AA97" s="137"/>
      <c r="AB97" s="137"/>
      <c r="AC97" s="137"/>
      <c r="AD97" s="137"/>
      <c r="AE97" s="137"/>
      <c r="AF97" s="137"/>
    </row>
    <row r="98" spans="2:32" ht="25.15" customHeight="1">
      <c r="B98" s="121" t="s">
        <v>73</v>
      </c>
      <c r="C98" s="184" t="s">
        <v>50</v>
      </c>
      <c r="D98" s="251">
        <v>40324.095265641103</v>
      </c>
      <c r="E98" s="251">
        <v>42139.267077338242</v>
      </c>
      <c r="F98" s="251">
        <v>36915.455300368332</v>
      </c>
      <c r="G98" s="251">
        <v>39443.688815996713</v>
      </c>
      <c r="H98" s="251">
        <v>41127.909430800159</v>
      </c>
      <c r="I98" s="251">
        <v>46026.978258216215</v>
      </c>
      <c r="J98" s="251">
        <v>46562.007443241317</v>
      </c>
      <c r="K98" s="251">
        <v>51152.71155746287</v>
      </c>
      <c r="L98" s="251">
        <v>51892.188238293944</v>
      </c>
      <c r="M98" s="251">
        <v>53651.585817391417</v>
      </c>
      <c r="N98" s="251">
        <v>50138.135381531603</v>
      </c>
      <c r="O98" s="251">
        <v>53814.940049147779</v>
      </c>
      <c r="P98" s="251">
        <v>55371.703428901943</v>
      </c>
      <c r="Q98" s="251">
        <v>57527.153830304458</v>
      </c>
      <c r="R98" s="37" t="s">
        <v>126</v>
      </c>
      <c r="S98" s="137"/>
      <c r="T98" s="137"/>
      <c r="U98" s="137"/>
      <c r="V98" s="137"/>
      <c r="W98" s="137"/>
      <c r="X98" s="137"/>
      <c r="Y98" s="137"/>
      <c r="Z98" s="137"/>
      <c r="AA98" s="137"/>
      <c r="AB98" s="137"/>
      <c r="AC98" s="137"/>
      <c r="AD98" s="137"/>
      <c r="AE98" s="137"/>
      <c r="AF98" s="137"/>
    </row>
    <row r="99" spans="2:32" ht="25.15" customHeight="1">
      <c r="B99" s="121" t="s">
        <v>74</v>
      </c>
      <c r="C99" s="184" t="s">
        <v>51</v>
      </c>
      <c r="D99" s="251">
        <v>17115.753797891557</v>
      </c>
      <c r="E99" s="251">
        <v>18043.274247019559</v>
      </c>
      <c r="F99" s="251">
        <v>18718.634105625366</v>
      </c>
      <c r="G99" s="251">
        <v>19106.651165835912</v>
      </c>
      <c r="H99" s="251">
        <v>21357.623444346176</v>
      </c>
      <c r="I99" s="251">
        <v>20432.227538798132</v>
      </c>
      <c r="J99" s="251">
        <v>21055.421719725695</v>
      </c>
      <c r="K99" s="251">
        <v>22229.106232254926</v>
      </c>
      <c r="L99" s="251">
        <v>22685.368346540359</v>
      </c>
      <c r="M99" s="251">
        <v>23526.461404227277</v>
      </c>
      <c r="N99" s="251">
        <v>15759.830251254019</v>
      </c>
      <c r="O99" s="251">
        <v>17656.310115014006</v>
      </c>
      <c r="P99" s="251">
        <v>21066.31779996166</v>
      </c>
      <c r="Q99" s="251">
        <v>23492.576812148152</v>
      </c>
      <c r="R99" s="37" t="s">
        <v>127</v>
      </c>
      <c r="S99" s="137"/>
      <c r="T99" s="137"/>
      <c r="U99" s="137"/>
      <c r="V99" s="137"/>
      <c r="W99" s="137"/>
      <c r="X99" s="137"/>
      <c r="Y99" s="137"/>
      <c r="Z99" s="137"/>
      <c r="AA99" s="137"/>
      <c r="AB99" s="137"/>
      <c r="AC99" s="137"/>
      <c r="AD99" s="137"/>
      <c r="AE99" s="137"/>
      <c r="AF99" s="137"/>
    </row>
    <row r="100" spans="2:32" ht="25.15" customHeight="1">
      <c r="B100" s="121" t="s">
        <v>75</v>
      </c>
      <c r="C100" s="184" t="s">
        <v>52</v>
      </c>
      <c r="D100" s="251">
        <v>5164.3000311388578</v>
      </c>
      <c r="E100" s="251">
        <v>5958.0928460639943</v>
      </c>
      <c r="F100" s="251">
        <v>6105.8114651547048</v>
      </c>
      <c r="G100" s="251">
        <v>6260.2709965687163</v>
      </c>
      <c r="H100" s="251">
        <v>6721.8095063384026</v>
      </c>
      <c r="I100" s="251">
        <v>7438.8172786141904</v>
      </c>
      <c r="J100" s="251">
        <v>7951.0238343796254</v>
      </c>
      <c r="K100" s="251">
        <v>8524.9036563397403</v>
      </c>
      <c r="L100" s="251">
        <v>8498.0720485018228</v>
      </c>
      <c r="M100" s="251">
        <v>9544.3889191079106</v>
      </c>
      <c r="N100" s="251">
        <v>6668.0298012132498</v>
      </c>
      <c r="O100" s="251">
        <v>7417.6947119925762</v>
      </c>
      <c r="P100" s="251">
        <v>8325.0859386362335</v>
      </c>
      <c r="Q100" s="251">
        <v>8782.2721268896166</v>
      </c>
      <c r="R100" s="37" t="s">
        <v>128</v>
      </c>
      <c r="S100" s="137"/>
      <c r="T100" s="137"/>
      <c r="U100" s="137"/>
      <c r="V100" s="137"/>
      <c r="W100" s="137"/>
      <c r="X100" s="137"/>
      <c r="Y100" s="137"/>
      <c r="Z100" s="137"/>
      <c r="AA100" s="137"/>
      <c r="AB100" s="137"/>
      <c r="AC100" s="137"/>
      <c r="AD100" s="137"/>
      <c r="AE100" s="137"/>
      <c r="AF100" s="137"/>
    </row>
    <row r="101" spans="2:32" ht="25.15" customHeight="1">
      <c r="B101" s="121" t="s">
        <v>76</v>
      </c>
      <c r="C101" s="184" t="s">
        <v>53</v>
      </c>
      <c r="D101" s="251">
        <v>8876.1170951514487</v>
      </c>
      <c r="E101" s="251">
        <v>8914.2533316671743</v>
      </c>
      <c r="F101" s="251">
        <v>8468.7427322852582</v>
      </c>
      <c r="G101" s="251">
        <v>8948.8379796693862</v>
      </c>
      <c r="H101" s="251">
        <v>9561.7275017566153</v>
      </c>
      <c r="I101" s="251">
        <v>10150.21472167639</v>
      </c>
      <c r="J101" s="251">
        <v>10941.97563685609</v>
      </c>
      <c r="K101" s="251">
        <v>11667.330177675467</v>
      </c>
      <c r="L101" s="251">
        <v>11568.062696813893</v>
      </c>
      <c r="M101" s="251">
        <v>11545.628086764194</v>
      </c>
      <c r="N101" s="251">
        <v>11959.417189416823</v>
      </c>
      <c r="O101" s="251">
        <v>12373.891814739145</v>
      </c>
      <c r="P101" s="251">
        <v>13146.427733758597</v>
      </c>
      <c r="Q101" s="251">
        <v>13851.715633844397</v>
      </c>
      <c r="R101" s="37" t="s">
        <v>129</v>
      </c>
      <c r="S101" s="137"/>
      <c r="T101" s="137"/>
      <c r="U101" s="137"/>
      <c r="V101" s="137"/>
      <c r="W101" s="137"/>
      <c r="X101" s="137"/>
      <c r="Y101" s="137"/>
      <c r="Z101" s="137"/>
      <c r="AA101" s="137"/>
      <c r="AB101" s="137"/>
      <c r="AC101" s="137"/>
      <c r="AD101" s="137"/>
      <c r="AE101" s="137"/>
      <c r="AF101" s="137"/>
    </row>
    <row r="102" spans="2:32" ht="25.15" customHeight="1">
      <c r="B102" s="121" t="s">
        <v>77</v>
      </c>
      <c r="C102" s="185" t="s">
        <v>54</v>
      </c>
      <c r="D102" s="225">
        <v>19084.342711396326</v>
      </c>
      <c r="E102" s="225">
        <v>19463.330949707695</v>
      </c>
      <c r="F102" s="225">
        <v>22387.424546801634</v>
      </c>
      <c r="G102" s="225">
        <v>26507.738871449423</v>
      </c>
      <c r="H102" s="225">
        <v>29421.435929043266</v>
      </c>
      <c r="I102" s="225">
        <v>32008.201592458823</v>
      </c>
      <c r="J102" s="225">
        <v>34201.011298366226</v>
      </c>
      <c r="K102" s="225">
        <v>33888.93613021139</v>
      </c>
      <c r="L102" s="225">
        <v>32198.817663546313</v>
      </c>
      <c r="M102" s="225">
        <v>33087.649105105862</v>
      </c>
      <c r="N102" s="225">
        <v>32275.42937829802</v>
      </c>
      <c r="O102" s="225">
        <v>33581.714061758692</v>
      </c>
      <c r="P102" s="225">
        <v>35786.790640111394</v>
      </c>
      <c r="Q102" s="225">
        <v>40920.175894838554</v>
      </c>
      <c r="R102" s="186" t="s">
        <v>55</v>
      </c>
      <c r="S102" s="137"/>
      <c r="T102" s="137"/>
      <c r="U102" s="137"/>
      <c r="V102" s="137"/>
      <c r="W102" s="137"/>
      <c r="X102" s="137"/>
      <c r="Y102" s="137"/>
      <c r="Z102" s="137"/>
      <c r="AA102" s="137"/>
      <c r="AB102" s="137"/>
      <c r="AC102" s="137"/>
      <c r="AD102" s="137"/>
      <c r="AE102" s="137"/>
      <c r="AF102" s="137"/>
    </row>
    <row r="103" spans="2:32" ht="25.15" customHeight="1">
      <c r="B103" s="121" t="s">
        <v>78</v>
      </c>
      <c r="C103" s="184" t="s">
        <v>56</v>
      </c>
      <c r="D103" s="251">
        <v>14097.380320092692</v>
      </c>
      <c r="E103" s="251">
        <v>15308.880463849375</v>
      </c>
      <c r="F103" s="251">
        <v>17383.177241957779</v>
      </c>
      <c r="G103" s="251">
        <v>17557.722430182726</v>
      </c>
      <c r="H103" s="251">
        <v>19050.525996151788</v>
      </c>
      <c r="I103" s="251">
        <v>19681.94018661377</v>
      </c>
      <c r="J103" s="251">
        <v>21633.217840357363</v>
      </c>
      <c r="K103" s="251">
        <v>23094.439383333349</v>
      </c>
      <c r="L103" s="251">
        <v>22526.719702852002</v>
      </c>
      <c r="M103" s="251">
        <v>23681.208205102084</v>
      </c>
      <c r="N103" s="251">
        <v>20587.883766760573</v>
      </c>
      <c r="O103" s="251">
        <v>21850.453841592422</v>
      </c>
      <c r="P103" s="251">
        <v>24383.433580619367</v>
      </c>
      <c r="Q103" s="251">
        <v>25814.396145577652</v>
      </c>
      <c r="R103" s="37" t="s">
        <v>130</v>
      </c>
      <c r="S103" s="137"/>
      <c r="T103" s="137"/>
      <c r="U103" s="137"/>
      <c r="V103" s="137"/>
      <c r="W103" s="137"/>
      <c r="X103" s="137"/>
      <c r="Y103" s="137"/>
      <c r="Z103" s="137"/>
      <c r="AA103" s="137"/>
      <c r="AB103" s="137"/>
      <c r="AC103" s="137"/>
      <c r="AD103" s="137"/>
      <c r="AE103" s="137"/>
      <c r="AF103" s="137"/>
    </row>
    <row r="104" spans="2:32" ht="25.15" customHeight="1">
      <c r="B104" s="121" t="s">
        <v>187</v>
      </c>
      <c r="C104" s="187" t="s">
        <v>188</v>
      </c>
      <c r="D104" s="251">
        <v>14005.332215556826</v>
      </c>
      <c r="E104" s="251">
        <v>14481.901885416433</v>
      </c>
      <c r="F104" s="251">
        <v>14266.738159048198</v>
      </c>
      <c r="G104" s="251">
        <v>14555.924159201717</v>
      </c>
      <c r="H104" s="251">
        <v>15601.152027886739</v>
      </c>
      <c r="I104" s="251">
        <v>16206.645380088985</v>
      </c>
      <c r="J104" s="251">
        <v>17108.892890581792</v>
      </c>
      <c r="K104" s="251">
        <v>17581.408407183586</v>
      </c>
      <c r="L104" s="251">
        <v>17436.160250407647</v>
      </c>
      <c r="M104" s="251">
        <v>16843.278049827768</v>
      </c>
      <c r="N104" s="251">
        <v>16407.253070618906</v>
      </c>
      <c r="O104" s="251">
        <v>16861.753797414614</v>
      </c>
      <c r="P104" s="251">
        <v>18762.546310852595</v>
      </c>
      <c r="Q104" s="251">
        <v>19019.763179211066</v>
      </c>
      <c r="R104" s="37" t="s">
        <v>189</v>
      </c>
      <c r="S104" s="137"/>
      <c r="T104" s="137"/>
      <c r="U104" s="137"/>
      <c r="V104" s="137"/>
      <c r="W104" s="137"/>
      <c r="X104" s="137"/>
      <c r="Y104" s="137"/>
      <c r="Z104" s="137"/>
      <c r="AA104" s="137"/>
      <c r="AB104" s="137"/>
      <c r="AC104" s="137"/>
      <c r="AD104" s="137"/>
      <c r="AE104" s="137"/>
      <c r="AF104" s="137"/>
    </row>
    <row r="105" spans="2:32" ht="25.15" customHeight="1">
      <c r="B105" s="121" t="s">
        <v>79</v>
      </c>
      <c r="C105" s="185" t="s">
        <v>57</v>
      </c>
      <c r="D105" s="225">
        <v>15793.177124052099</v>
      </c>
      <c r="E105" s="225">
        <v>16216.391190742217</v>
      </c>
      <c r="F105" s="225">
        <v>17220.941803903785</v>
      </c>
      <c r="G105" s="225">
        <v>19199.729048486646</v>
      </c>
      <c r="H105" s="225">
        <v>20040.258157360087</v>
      </c>
      <c r="I105" s="225">
        <v>20246.012841190917</v>
      </c>
      <c r="J105" s="225">
        <v>23477.881630546057</v>
      </c>
      <c r="K105" s="225">
        <v>22465.833727002158</v>
      </c>
      <c r="L105" s="225">
        <v>21937.812381928248</v>
      </c>
      <c r="M105" s="225">
        <v>21688.314272421725</v>
      </c>
      <c r="N105" s="225">
        <v>24489.134430751696</v>
      </c>
      <c r="O105" s="225">
        <v>24318.19593137216</v>
      </c>
      <c r="P105" s="225">
        <v>23899.533567680199</v>
      </c>
      <c r="Q105" s="225">
        <v>24797.514113500514</v>
      </c>
      <c r="R105" s="186" t="s">
        <v>131</v>
      </c>
      <c r="S105" s="137"/>
      <c r="T105" s="137"/>
      <c r="U105" s="137"/>
      <c r="V105" s="137"/>
      <c r="W105" s="137"/>
      <c r="X105" s="137"/>
      <c r="Y105" s="137"/>
      <c r="Z105" s="137"/>
      <c r="AA105" s="137"/>
      <c r="AB105" s="137"/>
      <c r="AC105" s="137"/>
      <c r="AD105" s="137"/>
      <c r="AE105" s="137"/>
      <c r="AF105" s="137"/>
    </row>
    <row r="106" spans="2:32" ht="25.15" customHeight="1">
      <c r="B106" s="121" t="s">
        <v>80</v>
      </c>
      <c r="C106" s="184" t="s">
        <v>58</v>
      </c>
      <c r="D106" s="251">
        <v>3447.6370215165134</v>
      </c>
      <c r="E106" s="251">
        <v>3492.6160471592484</v>
      </c>
      <c r="F106" s="251">
        <v>3390.9258660736527</v>
      </c>
      <c r="G106" s="251">
        <v>3576.3674968435093</v>
      </c>
      <c r="H106" s="251">
        <v>3860.4120466851778</v>
      </c>
      <c r="I106" s="251">
        <v>4169.0469069998808</v>
      </c>
      <c r="J106" s="251">
        <v>4680.8772549627747</v>
      </c>
      <c r="K106" s="251">
        <v>5073.5338654905954</v>
      </c>
      <c r="L106" s="251">
        <v>5354.7600412554757</v>
      </c>
      <c r="M106" s="251">
        <v>5799.5683400482903</v>
      </c>
      <c r="N106" s="251">
        <v>6405.26228399916</v>
      </c>
      <c r="O106" s="251">
        <v>6542.7200904238316</v>
      </c>
      <c r="P106" s="251">
        <v>6954.1851035025693</v>
      </c>
      <c r="Q106" s="251">
        <v>7245.4839558949425</v>
      </c>
      <c r="R106" s="37" t="s">
        <v>59</v>
      </c>
      <c r="S106" s="137"/>
      <c r="T106" s="137"/>
      <c r="U106" s="137"/>
      <c r="V106" s="137"/>
      <c r="W106" s="137"/>
      <c r="X106" s="137"/>
      <c r="Y106" s="137"/>
      <c r="Z106" s="137"/>
      <c r="AA106" s="137"/>
      <c r="AB106" s="137"/>
      <c r="AC106" s="137"/>
      <c r="AD106" s="137"/>
      <c r="AE106" s="137"/>
      <c r="AF106" s="137"/>
    </row>
    <row r="107" spans="2:32" ht="25.15" customHeight="1">
      <c r="B107" s="121" t="s">
        <v>81</v>
      </c>
      <c r="C107" s="184" t="s">
        <v>60</v>
      </c>
      <c r="D107" s="251">
        <v>1867.6720994822053</v>
      </c>
      <c r="E107" s="251">
        <v>2268.3047080984488</v>
      </c>
      <c r="F107" s="251">
        <v>3132.5260654685226</v>
      </c>
      <c r="G107" s="251">
        <v>3848.8033068889872</v>
      </c>
      <c r="H107" s="251">
        <v>4141.1141003954654</v>
      </c>
      <c r="I107" s="251">
        <v>4249.9551127639752</v>
      </c>
      <c r="J107" s="251">
        <v>4014.7903127620189</v>
      </c>
      <c r="K107" s="251">
        <v>4113.0117026414855</v>
      </c>
      <c r="L107" s="251">
        <v>4338.6879617421519</v>
      </c>
      <c r="M107" s="251">
        <v>4657.0230007546215</v>
      </c>
      <c r="N107" s="251">
        <v>4921.9062894544631</v>
      </c>
      <c r="O107" s="251">
        <v>6255.3053149949565</v>
      </c>
      <c r="P107" s="251">
        <v>6782.7021095451555</v>
      </c>
      <c r="Q107" s="251">
        <v>7060.1843013039224</v>
      </c>
      <c r="R107" s="37" t="s">
        <v>132</v>
      </c>
      <c r="S107" s="137"/>
      <c r="T107" s="137"/>
      <c r="U107" s="137"/>
      <c r="V107" s="137"/>
      <c r="W107" s="137"/>
      <c r="X107" s="137"/>
      <c r="Y107" s="137"/>
      <c r="Z107" s="137"/>
      <c r="AA107" s="137"/>
      <c r="AB107" s="137"/>
      <c r="AC107" s="137"/>
      <c r="AD107" s="137"/>
      <c r="AE107" s="137"/>
      <c r="AF107" s="137"/>
    </row>
    <row r="108" spans="2:32" ht="25.15" customHeight="1">
      <c r="B108" s="121" t="s">
        <v>82</v>
      </c>
      <c r="C108" s="184" t="s">
        <v>61</v>
      </c>
      <c r="D108" s="251">
        <v>1810.9423489899305</v>
      </c>
      <c r="E108" s="251">
        <v>1666.2474443265928</v>
      </c>
      <c r="F108" s="251">
        <v>1663.6985873903047</v>
      </c>
      <c r="G108" s="251">
        <v>1582.838374324152</v>
      </c>
      <c r="H108" s="251">
        <v>1686.4339227352307</v>
      </c>
      <c r="I108" s="251">
        <v>1808.1523984216028</v>
      </c>
      <c r="J108" s="251">
        <v>2003.876475325761</v>
      </c>
      <c r="K108" s="251">
        <v>2482.8260550935711</v>
      </c>
      <c r="L108" s="251">
        <v>2378.4854476632477</v>
      </c>
      <c r="M108" s="251">
        <v>2362.2495189715851</v>
      </c>
      <c r="N108" s="251">
        <v>1967.5639369734292</v>
      </c>
      <c r="O108" s="251">
        <v>2074.2765243977574</v>
      </c>
      <c r="P108" s="251">
        <v>2247.6817507769747</v>
      </c>
      <c r="Q108" s="251">
        <v>2344.3420691778956</v>
      </c>
      <c r="R108" s="37" t="s">
        <v>133</v>
      </c>
      <c r="S108" s="137"/>
      <c r="T108" s="137"/>
      <c r="U108" s="137"/>
      <c r="V108" s="137"/>
      <c r="W108" s="137"/>
      <c r="X108" s="137"/>
      <c r="Y108" s="137"/>
      <c r="Z108" s="137"/>
      <c r="AA108" s="137"/>
      <c r="AB108" s="137"/>
      <c r="AC108" s="137"/>
      <c r="AD108" s="137"/>
      <c r="AE108" s="137"/>
      <c r="AF108" s="137"/>
    </row>
    <row r="109" spans="2:32" ht="25.15" customHeight="1">
      <c r="B109" s="122" t="s">
        <v>83</v>
      </c>
      <c r="C109" s="188" t="s">
        <v>114</v>
      </c>
      <c r="D109" s="227">
        <v>1262.7577970317489</v>
      </c>
      <c r="E109" s="227">
        <v>1369.7325819060852</v>
      </c>
      <c r="F109" s="227">
        <v>1458.0548708433087</v>
      </c>
      <c r="G109" s="227">
        <v>1791.5680561179252</v>
      </c>
      <c r="H109" s="227">
        <v>1987.0951941938049</v>
      </c>
      <c r="I109" s="227">
        <v>1958.5807143975971</v>
      </c>
      <c r="J109" s="227">
        <v>2074.3415775593212</v>
      </c>
      <c r="K109" s="227">
        <v>2132.5477514099757</v>
      </c>
      <c r="L109" s="227">
        <v>2313.6807415402204</v>
      </c>
      <c r="M109" s="227">
        <v>2706.9515506418948</v>
      </c>
      <c r="N109" s="227">
        <v>2733.2732622140456</v>
      </c>
      <c r="O109" s="227">
        <v>2739.9956624043834</v>
      </c>
      <c r="P109" s="227">
        <v>2928.4372514946003</v>
      </c>
      <c r="Q109" s="227">
        <v>2975.1958924800915</v>
      </c>
      <c r="R109" s="231" t="s">
        <v>134</v>
      </c>
      <c r="S109" s="137"/>
      <c r="T109" s="137"/>
      <c r="U109" s="137"/>
      <c r="V109" s="137"/>
      <c r="W109" s="137"/>
      <c r="X109" s="137"/>
      <c r="Y109" s="137"/>
      <c r="Z109" s="137"/>
      <c r="AA109" s="137"/>
      <c r="AB109" s="137"/>
      <c r="AC109" s="137"/>
      <c r="AD109" s="137"/>
      <c r="AE109" s="137"/>
      <c r="AF109" s="137"/>
    </row>
    <row r="110" spans="2:32" ht="25.15" customHeight="1">
      <c r="B110" s="26"/>
      <c r="C110" s="26" t="s">
        <v>16</v>
      </c>
      <c r="D110" s="225">
        <v>300189.05269402848</v>
      </c>
      <c r="E110" s="225">
        <v>318849.16987989581</v>
      </c>
      <c r="F110" s="225">
        <v>324666.51172929112</v>
      </c>
      <c r="G110" s="225">
        <v>341080.22090717044</v>
      </c>
      <c r="H110" s="225">
        <v>355288.57184609206</v>
      </c>
      <c r="I110" s="225">
        <v>379401.20028393413</v>
      </c>
      <c r="J110" s="225">
        <v>400501.56296196399</v>
      </c>
      <c r="K110" s="225">
        <v>403445.524647035</v>
      </c>
      <c r="L110" s="225">
        <v>408746.45139930549</v>
      </c>
      <c r="M110" s="225">
        <v>413276.78508633497</v>
      </c>
      <c r="N110" s="225">
        <v>392790.43814161199</v>
      </c>
      <c r="O110" s="225">
        <v>409895.50056138646</v>
      </c>
      <c r="P110" s="225">
        <v>440677.41080224083</v>
      </c>
      <c r="Q110" s="225">
        <v>456624.23306728876</v>
      </c>
      <c r="R110" s="230" t="s">
        <v>20</v>
      </c>
      <c r="S110" s="137"/>
      <c r="T110" s="137"/>
      <c r="U110" s="137"/>
      <c r="V110" s="137"/>
      <c r="W110" s="137"/>
      <c r="X110" s="137"/>
      <c r="Y110" s="137"/>
      <c r="Z110" s="137"/>
      <c r="AA110" s="137"/>
      <c r="AB110" s="137"/>
      <c r="AC110" s="137"/>
      <c r="AD110" s="137"/>
      <c r="AE110" s="137"/>
      <c r="AF110" s="137"/>
    </row>
    <row r="111" spans="2:32" ht="25.15" customHeight="1" thickBot="1">
      <c r="B111" s="75"/>
      <c r="C111" s="75" t="s">
        <v>175</v>
      </c>
      <c r="D111" s="232">
        <v>211014.76382058827</v>
      </c>
      <c r="E111" s="232">
        <v>219764.91727215692</v>
      </c>
      <c r="F111" s="232">
        <v>218838.41803368763</v>
      </c>
      <c r="G111" s="232">
        <v>231859.25989747638</v>
      </c>
      <c r="H111" s="232">
        <v>246487.84293468489</v>
      </c>
      <c r="I111" s="232">
        <v>260403.58717921845</v>
      </c>
      <c r="J111" s="232">
        <v>276699.78115129366</v>
      </c>
      <c r="K111" s="232">
        <v>288212.49223174306</v>
      </c>
      <c r="L111" s="232">
        <v>288381.06702144048</v>
      </c>
      <c r="M111" s="232">
        <v>296096.55232093646</v>
      </c>
      <c r="N111" s="232">
        <v>280012.94549824618</v>
      </c>
      <c r="O111" s="232">
        <v>298304.83043190016</v>
      </c>
      <c r="P111" s="232">
        <v>319604.04503322375</v>
      </c>
      <c r="Q111" s="232">
        <v>339298.54346360959</v>
      </c>
      <c r="R111" s="48" t="s">
        <v>190</v>
      </c>
      <c r="S111" s="137"/>
      <c r="T111" s="137"/>
      <c r="U111" s="137"/>
      <c r="V111" s="137"/>
      <c r="W111" s="137"/>
      <c r="X111" s="137"/>
      <c r="Y111" s="137"/>
      <c r="Z111" s="137"/>
      <c r="AA111" s="137"/>
      <c r="AB111" s="137"/>
      <c r="AC111" s="137"/>
      <c r="AD111" s="137"/>
      <c r="AE111" s="137"/>
      <c r="AF111" s="137"/>
    </row>
    <row r="112" spans="2:32" s="2" customFormat="1" ht="24.95" customHeight="1">
      <c r="B112" s="527" t="s">
        <v>326</v>
      </c>
      <c r="C112" s="527"/>
      <c r="D112" s="31"/>
      <c r="E112" s="31"/>
      <c r="F112" s="31"/>
      <c r="G112" s="31"/>
      <c r="H112" s="31"/>
      <c r="I112" s="31"/>
      <c r="J112" s="31"/>
      <c r="K112" s="31"/>
      <c r="L112" s="31"/>
      <c r="M112" s="31"/>
      <c r="N112" s="31"/>
      <c r="O112" s="31"/>
      <c r="P112" s="31"/>
      <c r="Q112" s="31"/>
      <c r="R112" s="313" t="s">
        <v>327</v>
      </c>
      <c r="S112" s="22"/>
    </row>
    <row r="113" spans="2:19" ht="24.95" customHeight="1">
      <c r="B113" s="528" t="s">
        <v>399</v>
      </c>
      <c r="C113" s="528"/>
      <c r="D113" s="11"/>
      <c r="E113" s="11"/>
      <c r="F113" s="11"/>
      <c r="G113" s="11"/>
      <c r="H113" s="11"/>
      <c r="I113" s="11"/>
      <c r="J113" s="11"/>
      <c r="K113" s="11"/>
      <c r="L113" s="11"/>
      <c r="M113" s="11"/>
      <c r="N113" s="11"/>
      <c r="O113" s="11"/>
      <c r="P113" s="11"/>
      <c r="Q113" s="11"/>
      <c r="R113" s="313" t="s">
        <v>193</v>
      </c>
      <c r="S113" s="100"/>
    </row>
    <row r="114" spans="2:19" ht="24.95" customHeight="1">
      <c r="B114" s="146" t="s">
        <v>192</v>
      </c>
      <c r="C114" s="146"/>
      <c r="D114" s="78"/>
      <c r="E114" s="78"/>
      <c r="F114" s="78"/>
      <c r="G114" s="78"/>
      <c r="H114" s="78"/>
      <c r="I114" s="78"/>
      <c r="J114" s="78"/>
      <c r="K114" s="78"/>
      <c r="L114" s="78"/>
      <c r="M114" s="78"/>
      <c r="N114" s="78"/>
      <c r="O114" s="78"/>
      <c r="P114" s="78"/>
      <c r="Q114" s="78"/>
      <c r="R114" s="81" t="s">
        <v>551</v>
      </c>
      <c r="S114" s="22"/>
    </row>
    <row r="115" spans="2:19" ht="25.15" customHeight="1">
      <c r="D115" s="78"/>
      <c r="E115" s="78"/>
      <c r="F115" s="78"/>
      <c r="G115" s="78"/>
      <c r="H115" s="78"/>
      <c r="I115" s="78"/>
      <c r="J115" s="78"/>
      <c r="K115" s="78"/>
      <c r="L115" s="78"/>
      <c r="M115" s="78"/>
      <c r="N115" s="78"/>
      <c r="O115" s="78"/>
      <c r="P115" s="78"/>
      <c r="Q115" s="78"/>
    </row>
  </sheetData>
  <mergeCells count="17">
    <mergeCell ref="B112:C112"/>
    <mergeCell ref="B113:C113"/>
    <mergeCell ref="B83:F83"/>
    <mergeCell ref="B85:C85"/>
    <mergeCell ref="B88:R88"/>
    <mergeCell ref="B89:R89"/>
    <mergeCell ref="B84:C84"/>
    <mergeCell ref="B3:R3"/>
    <mergeCell ref="B4:R4"/>
    <mergeCell ref="B59:R59"/>
    <mergeCell ref="B60:R60"/>
    <mergeCell ref="B31:R31"/>
    <mergeCell ref="B32:R32"/>
    <mergeCell ref="B27:C27"/>
    <mergeCell ref="B28:C28"/>
    <mergeCell ref="B55:C55"/>
    <mergeCell ref="B56:C56"/>
  </mergeCells>
  <phoneticPr fontId="5" type="noConversion"/>
  <conditionalFormatting sqref="S35:AF54">
    <cfRule type="containsText" dxfId="28" priority="3" operator="containsText" text="true">
      <formula>NOT(ISERROR(SEARCH("true",S35)))</formula>
    </cfRule>
  </conditionalFormatting>
  <conditionalFormatting sqref="S63:AE82">
    <cfRule type="containsText" dxfId="27" priority="2" operator="containsText" text="true">
      <formula>NOT(ISERROR(SEARCH("true",S63)))</formula>
    </cfRule>
  </conditionalFormatting>
  <conditionalFormatting sqref="S92:AF111">
    <cfRule type="containsText" dxfId="26" priority="1" operator="containsText" text="true">
      <formula>NOT(ISERROR(SEARCH("true",S92)))</formula>
    </cfRule>
  </conditionalFormatting>
  <printOptions horizontalCentered="1" verticalCentered="1"/>
  <pageMargins left="0" right="0" top="0" bottom="0" header="0" footer="0"/>
  <pageSetup paperSize="9" scale="40" fitToHeight="0" orientation="landscape" r:id="rId1"/>
  <headerFooter alignWithMargins="0">
    <oddFooter>&amp;C&amp;D</oddFooter>
  </headerFooter>
  <rowBreaks count="3" manualBreakCount="3">
    <brk id="29" max="26" man="1"/>
    <brk id="57" max="16383" man="1"/>
    <brk id="86" max="2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E77"/>
  <sheetViews>
    <sheetView showGridLines="0" rightToLeft="1" zoomScaleNormal="100" zoomScaleSheetLayoutView="80" workbookViewId="0"/>
  </sheetViews>
  <sheetFormatPr defaultColWidth="9.28515625" defaultRowHeight="25.15" customHeight="1"/>
  <cols>
    <col min="1" max="1" width="15.7109375" style="2" customWidth="1"/>
    <col min="2" max="2" width="34.85546875" style="2" customWidth="1"/>
    <col min="3" max="11" width="10.7109375" style="22" customWidth="1"/>
    <col min="12" max="16" width="9.7109375" style="22" customWidth="1"/>
    <col min="17" max="17" width="34.85546875" style="22" customWidth="1"/>
    <col min="18" max="18" width="11.42578125" style="2" bestFit="1" customWidth="1"/>
    <col min="19" max="27" width="9.28515625" style="2"/>
    <col min="28" max="28" width="10.42578125" style="2" bestFit="1" customWidth="1"/>
    <col min="29" max="16384" width="9.28515625" style="2"/>
  </cols>
  <sheetData>
    <row r="1" spans="2:28" ht="50.1" customHeight="1">
      <c r="B1" s="533"/>
      <c r="C1" s="533"/>
      <c r="D1" s="533"/>
      <c r="E1" s="533"/>
      <c r="F1" s="533"/>
      <c r="G1" s="533"/>
      <c r="H1" s="533"/>
      <c r="I1" s="533"/>
      <c r="J1" s="533"/>
      <c r="K1" s="533"/>
      <c r="L1" s="533"/>
      <c r="M1" s="533"/>
      <c r="N1" s="533"/>
      <c r="O1" s="533"/>
      <c r="P1" s="533"/>
      <c r="Q1" s="533"/>
    </row>
    <row r="2" spans="2:28" ht="25.15" customHeight="1">
      <c r="B2" s="531" t="s">
        <v>489</v>
      </c>
      <c r="C2" s="531"/>
      <c r="D2" s="531"/>
      <c r="E2" s="531"/>
      <c r="F2" s="531"/>
      <c r="G2" s="531"/>
      <c r="H2" s="531"/>
      <c r="I2" s="531"/>
      <c r="J2" s="531"/>
      <c r="K2" s="531"/>
      <c r="L2" s="531"/>
      <c r="M2" s="531"/>
      <c r="N2" s="531"/>
      <c r="O2" s="531"/>
      <c r="P2" s="531"/>
      <c r="Q2" s="531"/>
    </row>
    <row r="3" spans="2:28" ht="25.15" customHeight="1">
      <c r="B3" s="532" t="s">
        <v>389</v>
      </c>
      <c r="C3" s="532"/>
      <c r="D3" s="532"/>
      <c r="E3" s="532"/>
      <c r="F3" s="532"/>
      <c r="G3" s="532"/>
      <c r="H3" s="532"/>
      <c r="I3" s="532"/>
      <c r="J3" s="532"/>
      <c r="K3" s="532"/>
      <c r="L3" s="532"/>
      <c r="M3" s="532"/>
      <c r="N3" s="532"/>
      <c r="O3" s="532"/>
      <c r="P3" s="532"/>
      <c r="Q3" s="532"/>
    </row>
    <row r="4" spans="2:28" ht="25.15" customHeight="1">
      <c r="B4" s="180"/>
      <c r="C4" s="180"/>
      <c r="D4" s="180"/>
      <c r="E4" s="180"/>
      <c r="F4" s="180"/>
      <c r="G4" s="180"/>
      <c r="H4" s="180"/>
      <c r="I4" s="180"/>
      <c r="J4" s="180"/>
      <c r="K4" s="180"/>
      <c r="L4" s="180"/>
      <c r="M4" s="180"/>
      <c r="N4" s="180"/>
      <c r="O4" s="180"/>
      <c r="P4" s="180"/>
      <c r="Q4" s="64" t="s">
        <v>369</v>
      </c>
    </row>
    <row r="5" spans="2:28" ht="25.15" customHeight="1">
      <c r="B5" s="208" t="s">
        <v>64</v>
      </c>
      <c r="C5" s="209">
        <v>2010</v>
      </c>
      <c r="D5" s="209">
        <v>2011</v>
      </c>
      <c r="E5" s="209">
        <v>2012</v>
      </c>
      <c r="F5" s="209">
        <v>2013</v>
      </c>
      <c r="G5" s="209">
        <v>2014</v>
      </c>
      <c r="H5" s="209">
        <v>2015</v>
      </c>
      <c r="I5" s="209">
        <v>2016</v>
      </c>
      <c r="J5" s="49">
        <v>2017</v>
      </c>
      <c r="K5" s="49">
        <v>2018</v>
      </c>
      <c r="L5" s="49">
        <v>2019</v>
      </c>
      <c r="M5" s="49">
        <v>2020</v>
      </c>
      <c r="N5" s="49">
        <v>2021</v>
      </c>
      <c r="O5" s="49" t="s">
        <v>185</v>
      </c>
      <c r="P5" s="49" t="s">
        <v>186</v>
      </c>
      <c r="Q5" s="210" t="s">
        <v>65</v>
      </c>
    </row>
    <row r="6" spans="2:28" ht="25.15" customHeight="1">
      <c r="B6" s="44" t="s">
        <v>100</v>
      </c>
      <c r="C6" s="86">
        <v>556297.58802813012</v>
      </c>
      <c r="D6" s="86">
        <v>622678.75323232578</v>
      </c>
      <c r="E6" s="86">
        <v>576020.40217134345</v>
      </c>
      <c r="F6" s="86">
        <v>638589.63961665682</v>
      </c>
      <c r="G6" s="86">
        <v>706893.90699165547</v>
      </c>
      <c r="H6" s="86">
        <v>727426.37216015998</v>
      </c>
      <c r="I6" s="86">
        <v>732491.68566763971</v>
      </c>
      <c r="J6" s="86">
        <v>773459.970992674</v>
      </c>
      <c r="K6" s="86">
        <v>790100.89124930021</v>
      </c>
      <c r="L6" s="86">
        <v>802527.64779107284</v>
      </c>
      <c r="M6" s="86">
        <v>789204.64255836327</v>
      </c>
      <c r="N6" s="86">
        <v>845863.15317177889</v>
      </c>
      <c r="O6" s="86">
        <v>1012003.0566442402</v>
      </c>
      <c r="P6" s="86">
        <v>1095730.3188155</v>
      </c>
      <c r="Q6" s="32" t="s">
        <v>99</v>
      </c>
      <c r="R6" s="133"/>
      <c r="S6" s="133"/>
      <c r="T6" s="133"/>
      <c r="U6" s="133"/>
      <c r="V6" s="133"/>
      <c r="W6" s="133"/>
      <c r="X6" s="133"/>
      <c r="Y6" s="133"/>
      <c r="Z6" s="133"/>
      <c r="AA6" s="133"/>
      <c r="AB6" s="133"/>
    </row>
    <row r="7" spans="2:28" ht="25.15" customHeight="1">
      <c r="B7" s="202" t="s">
        <v>180</v>
      </c>
      <c r="C7" s="251">
        <v>449542.50855559355</v>
      </c>
      <c r="D7" s="251">
        <v>494497.87507507287</v>
      </c>
      <c r="E7" s="251">
        <v>442160.30217134347</v>
      </c>
      <c r="F7" s="251">
        <v>481219.03658935998</v>
      </c>
      <c r="G7" s="251">
        <v>545045.35928255203</v>
      </c>
      <c r="H7" s="251">
        <v>563959.37216015998</v>
      </c>
      <c r="I7" s="251">
        <v>568238.06554614799</v>
      </c>
      <c r="J7" s="251">
        <v>586360.970992674</v>
      </c>
      <c r="K7" s="251">
        <v>593901.96833798895</v>
      </c>
      <c r="L7" s="251">
        <v>601625.26689755102</v>
      </c>
      <c r="M7" s="251">
        <v>594384.0927204442</v>
      </c>
      <c r="N7" s="251">
        <v>623084.41386491875</v>
      </c>
      <c r="O7" s="251">
        <v>778494.02668811427</v>
      </c>
      <c r="P7" s="251">
        <v>861237.90855405899</v>
      </c>
      <c r="Q7" s="326" t="s">
        <v>195</v>
      </c>
    </row>
    <row r="8" spans="2:28" ht="25.15" customHeight="1">
      <c r="B8" s="202" t="s">
        <v>194</v>
      </c>
      <c r="C8" s="251">
        <v>106755.07947253661</v>
      </c>
      <c r="D8" s="251">
        <v>128180.87815725291</v>
      </c>
      <c r="E8" s="251">
        <v>133860.1</v>
      </c>
      <c r="F8" s="251">
        <v>157370.60302729689</v>
      </c>
      <c r="G8" s="251">
        <v>161848.5477091035</v>
      </c>
      <c r="H8" s="251">
        <v>163467</v>
      </c>
      <c r="I8" s="251">
        <v>164253.62012149169</v>
      </c>
      <c r="J8" s="251">
        <v>187099</v>
      </c>
      <c r="K8" s="251">
        <v>196198.92291131127</v>
      </c>
      <c r="L8" s="251">
        <v>200902.38089352185</v>
      </c>
      <c r="M8" s="251">
        <v>194820.54983791901</v>
      </c>
      <c r="N8" s="251">
        <v>222778.73930686014</v>
      </c>
      <c r="O8" s="251">
        <v>233509.02995612586</v>
      </c>
      <c r="P8" s="251">
        <v>234492.41026144093</v>
      </c>
      <c r="Q8" s="326" t="s">
        <v>196</v>
      </c>
    </row>
    <row r="9" spans="2:28" ht="25.15" customHeight="1">
      <c r="B9" s="420" t="s">
        <v>155</v>
      </c>
      <c r="C9" s="421">
        <v>326834.70799068944</v>
      </c>
      <c r="D9" s="421">
        <v>335615.4827958477</v>
      </c>
      <c r="E9" s="421">
        <v>337862.28330151906</v>
      </c>
      <c r="F9" s="421">
        <v>318035.91088138858</v>
      </c>
      <c r="G9" s="421">
        <v>345234.05243044364</v>
      </c>
      <c r="H9" s="421">
        <v>303610.2897995481</v>
      </c>
      <c r="I9" s="421">
        <v>293398.49993323284</v>
      </c>
      <c r="J9" s="421">
        <v>305212.99175792688</v>
      </c>
      <c r="K9" s="421">
        <v>342378.14831917285</v>
      </c>
      <c r="L9" s="421">
        <v>369479.60527886025</v>
      </c>
      <c r="M9" s="421">
        <v>299411.87782678229</v>
      </c>
      <c r="N9" s="421">
        <v>393795.96327561833</v>
      </c>
      <c r="O9" s="421">
        <v>489411.97536852717</v>
      </c>
      <c r="P9" s="421">
        <v>511284.02843626984</v>
      </c>
      <c r="Q9" s="422" t="s">
        <v>306</v>
      </c>
      <c r="R9" s="133"/>
      <c r="S9" s="133"/>
      <c r="T9" s="133"/>
      <c r="U9" s="133"/>
      <c r="V9" s="133"/>
      <c r="W9" s="133"/>
      <c r="X9" s="133"/>
      <c r="Y9" s="133"/>
      <c r="Z9" s="133"/>
      <c r="AA9" s="133"/>
      <c r="AB9" s="133"/>
    </row>
    <row r="10" spans="2:28" ht="25.15" customHeight="1">
      <c r="B10" s="420" t="s">
        <v>15</v>
      </c>
      <c r="C10" s="421">
        <v>875260</v>
      </c>
      <c r="D10" s="421">
        <v>1160025</v>
      </c>
      <c r="E10" s="421">
        <v>1379075</v>
      </c>
      <c r="F10" s="421">
        <v>1440518</v>
      </c>
      <c r="G10" s="421">
        <v>1479019</v>
      </c>
      <c r="H10" s="421">
        <v>1316700</v>
      </c>
      <c r="I10" s="421">
        <v>1324400</v>
      </c>
      <c r="J10" s="421">
        <v>1403400</v>
      </c>
      <c r="K10" s="421">
        <v>1469800</v>
      </c>
      <c r="L10" s="421">
        <v>1486860</v>
      </c>
      <c r="M10" s="421">
        <v>1286393.6000000001</v>
      </c>
      <c r="N10" s="421">
        <v>1561385</v>
      </c>
      <c r="O10" s="421">
        <v>1916668.0000000002</v>
      </c>
      <c r="P10" s="421">
        <v>2050729.6666666665</v>
      </c>
      <c r="Q10" s="352" t="s">
        <v>101</v>
      </c>
    </row>
    <row r="11" spans="2:28" ht="25.15" customHeight="1">
      <c r="B11" s="202" t="s">
        <v>108</v>
      </c>
      <c r="C11" s="251">
        <v>832160</v>
      </c>
      <c r="D11" s="251">
        <v>1113025</v>
      </c>
      <c r="E11" s="251">
        <v>1323735</v>
      </c>
      <c r="F11" s="251">
        <v>1362518</v>
      </c>
      <c r="G11" s="251">
        <v>1391519</v>
      </c>
      <c r="H11" s="251">
        <v>1093500</v>
      </c>
      <c r="I11" s="251">
        <v>1083500</v>
      </c>
      <c r="J11" s="251">
        <v>1144500</v>
      </c>
      <c r="K11" s="251">
        <v>1206000</v>
      </c>
      <c r="L11" s="251">
        <v>1155360</v>
      </c>
      <c r="M11" s="251">
        <v>999493.60000000009</v>
      </c>
      <c r="N11" s="251">
        <v>1187385</v>
      </c>
      <c r="O11" s="251">
        <v>1349668.0000000002</v>
      </c>
      <c r="P11" s="251">
        <v>1455629.6666666667</v>
      </c>
      <c r="Q11" s="326" t="s">
        <v>199</v>
      </c>
    </row>
    <row r="12" spans="2:28" ht="25.15" customHeight="1">
      <c r="B12" s="202" t="s">
        <v>107</v>
      </c>
      <c r="C12" s="251">
        <v>43100</v>
      </c>
      <c r="D12" s="251">
        <v>47000</v>
      </c>
      <c r="E12" s="251">
        <v>55340</v>
      </c>
      <c r="F12" s="251">
        <v>78000</v>
      </c>
      <c r="G12" s="251">
        <v>87500</v>
      </c>
      <c r="H12" s="251">
        <v>223200</v>
      </c>
      <c r="I12" s="251">
        <v>240900</v>
      </c>
      <c r="J12" s="251">
        <v>258900</v>
      </c>
      <c r="K12" s="251">
        <v>263800</v>
      </c>
      <c r="L12" s="251">
        <v>331500</v>
      </c>
      <c r="M12" s="251">
        <v>286900</v>
      </c>
      <c r="N12" s="251">
        <v>374000</v>
      </c>
      <c r="O12" s="251">
        <v>567000</v>
      </c>
      <c r="P12" s="251">
        <v>595099.99999999988</v>
      </c>
      <c r="Q12" s="326" t="s">
        <v>200</v>
      </c>
    </row>
    <row r="13" spans="2:28" ht="25.15" customHeight="1">
      <c r="B13" s="420" t="s">
        <v>41</v>
      </c>
      <c r="C13" s="421">
        <v>655948</v>
      </c>
      <c r="D13" s="421">
        <v>793161</v>
      </c>
      <c r="E13" s="421">
        <v>880477</v>
      </c>
      <c r="F13" s="421">
        <v>927341</v>
      </c>
      <c r="G13" s="421">
        <v>1010345</v>
      </c>
      <c r="H13" s="421">
        <v>987900</v>
      </c>
      <c r="I13" s="421">
        <v>994200</v>
      </c>
      <c r="J13" s="421">
        <v>1047900</v>
      </c>
      <c r="K13" s="421">
        <v>1033940</v>
      </c>
      <c r="L13" s="421">
        <v>1123800</v>
      </c>
      <c r="M13" s="421">
        <v>1091570.4715602342</v>
      </c>
      <c r="N13" s="421">
        <v>1276300</v>
      </c>
      <c r="O13" s="421">
        <v>1571800</v>
      </c>
      <c r="P13" s="421">
        <v>1769600</v>
      </c>
      <c r="Q13" s="352" t="s">
        <v>42</v>
      </c>
    </row>
    <row r="14" spans="2:28" ht="25.15" customHeight="1">
      <c r="B14" s="204" t="s">
        <v>197</v>
      </c>
      <c r="C14" s="251">
        <v>501337</v>
      </c>
      <c r="D14" s="251">
        <v>585397</v>
      </c>
      <c r="E14" s="251">
        <v>648567</v>
      </c>
      <c r="F14" s="251">
        <v>698941</v>
      </c>
      <c r="G14" s="251">
        <v>772145</v>
      </c>
      <c r="H14" s="251">
        <v>687200</v>
      </c>
      <c r="I14" s="251">
        <v>686300</v>
      </c>
      <c r="J14" s="251">
        <v>784200</v>
      </c>
      <c r="K14" s="251">
        <v>768340</v>
      </c>
      <c r="L14" s="251">
        <v>799900</v>
      </c>
      <c r="M14" s="251">
        <v>864370.4715602342</v>
      </c>
      <c r="N14" s="251">
        <v>996800.00000000012</v>
      </c>
      <c r="O14" s="251">
        <v>1215900</v>
      </c>
      <c r="P14" s="251">
        <v>1383300</v>
      </c>
      <c r="Q14" s="423" t="s">
        <v>201</v>
      </c>
    </row>
    <row r="15" spans="2:28" ht="25.15" customHeight="1">
      <c r="B15" s="205" t="s">
        <v>198</v>
      </c>
      <c r="C15" s="251">
        <v>154611</v>
      </c>
      <c r="D15" s="251">
        <v>207764</v>
      </c>
      <c r="E15" s="251">
        <v>231910</v>
      </c>
      <c r="F15" s="251">
        <v>228400</v>
      </c>
      <c r="G15" s="251">
        <v>238200</v>
      </c>
      <c r="H15" s="251">
        <v>300700</v>
      </c>
      <c r="I15" s="251">
        <v>307900</v>
      </c>
      <c r="J15" s="251">
        <v>263700</v>
      </c>
      <c r="K15" s="251">
        <v>265600</v>
      </c>
      <c r="L15" s="251">
        <v>323900</v>
      </c>
      <c r="M15" s="251">
        <v>227200</v>
      </c>
      <c r="N15" s="251">
        <v>279500</v>
      </c>
      <c r="O15" s="251">
        <v>355900</v>
      </c>
      <c r="P15" s="251">
        <v>386300</v>
      </c>
      <c r="Q15" s="207" t="s">
        <v>202</v>
      </c>
    </row>
    <row r="16" spans="2:28" ht="25.15" customHeight="1" thickBot="1">
      <c r="B16" s="142" t="s">
        <v>16</v>
      </c>
      <c r="C16" s="143">
        <v>1102444.2960188196</v>
      </c>
      <c r="D16" s="143">
        <v>1325158.2360281735</v>
      </c>
      <c r="E16" s="143">
        <v>1412480.6854728628</v>
      </c>
      <c r="F16" s="143">
        <v>1469802.5504980455</v>
      </c>
      <c r="G16" s="143">
        <v>1520801.9594220994</v>
      </c>
      <c r="H16" s="143">
        <v>1359836.6619597082</v>
      </c>
      <c r="I16" s="143">
        <v>1356090.1856008726</v>
      </c>
      <c r="J16" s="143">
        <v>1434172.9627506007</v>
      </c>
      <c r="K16" s="143">
        <v>1568339.0395684731</v>
      </c>
      <c r="L16" s="143">
        <v>1535067.253069933</v>
      </c>
      <c r="M16" s="143">
        <v>1283439.6488249116</v>
      </c>
      <c r="N16" s="143">
        <v>1524744.1164473975</v>
      </c>
      <c r="O16" s="143">
        <v>1846283.0320127676</v>
      </c>
      <c r="P16" s="143">
        <v>1888144.0139184361</v>
      </c>
      <c r="Q16" s="144" t="s">
        <v>20</v>
      </c>
      <c r="R16" s="133"/>
      <c r="S16" s="133"/>
      <c r="T16" s="133"/>
      <c r="U16" s="133"/>
      <c r="V16" s="133"/>
      <c r="W16" s="133"/>
      <c r="X16" s="133"/>
      <c r="Y16" s="133"/>
      <c r="Z16" s="133"/>
      <c r="AA16" s="133"/>
      <c r="AB16" s="133"/>
    </row>
    <row r="17" spans="2:31" ht="24.95" customHeight="1">
      <c r="B17" s="482" t="s">
        <v>326</v>
      </c>
      <c r="C17" s="495"/>
      <c r="D17" s="495"/>
      <c r="E17" s="495"/>
      <c r="F17" s="495"/>
      <c r="G17" s="495"/>
      <c r="H17" s="495"/>
      <c r="I17" s="495"/>
      <c r="J17" s="495"/>
      <c r="K17" s="495"/>
      <c r="L17" s="495"/>
      <c r="M17" s="495"/>
      <c r="N17" s="495"/>
      <c r="O17" s="495"/>
      <c r="P17" s="495"/>
      <c r="Q17" s="313" t="s">
        <v>327</v>
      </c>
      <c r="S17" s="133"/>
      <c r="T17" s="133"/>
      <c r="U17" s="133"/>
      <c r="V17" s="133"/>
      <c r="W17" s="133"/>
      <c r="X17" s="133"/>
      <c r="Y17" s="133"/>
      <c r="Z17" s="133"/>
      <c r="AA17" s="133"/>
      <c r="AB17" s="133"/>
    </row>
    <row r="18" spans="2:31" ht="24.95" customHeight="1">
      <c r="B18" s="343" t="s">
        <v>399</v>
      </c>
      <c r="C18" s="496"/>
      <c r="D18" s="496"/>
      <c r="E18" s="496"/>
      <c r="F18" s="496"/>
      <c r="G18" s="496"/>
      <c r="H18" s="496"/>
      <c r="I18" s="496"/>
      <c r="J18" s="496"/>
      <c r="K18" s="496"/>
      <c r="L18" s="496"/>
      <c r="M18" s="496"/>
      <c r="N18" s="496"/>
      <c r="O18" s="496"/>
      <c r="P18" s="496"/>
      <c r="Q18" s="313" t="s">
        <v>193</v>
      </c>
    </row>
    <row r="19" spans="2:31" ht="24.95" customHeight="1">
      <c r="B19" s="81" t="s">
        <v>192</v>
      </c>
      <c r="C19" s="496"/>
      <c r="D19" s="496"/>
      <c r="E19" s="496"/>
      <c r="F19" s="496"/>
      <c r="G19" s="496"/>
      <c r="H19" s="496"/>
      <c r="I19" s="496"/>
      <c r="J19" s="496"/>
      <c r="K19" s="496"/>
      <c r="L19" s="496"/>
      <c r="M19" s="496"/>
      <c r="N19" s="496"/>
      <c r="O19" s="496"/>
      <c r="P19" s="496"/>
      <c r="Q19" s="81" t="s">
        <v>551</v>
      </c>
    </row>
    <row r="20" spans="2:31" ht="24.95" customHeight="1">
      <c r="B20" s="16"/>
      <c r="C20" s="15"/>
      <c r="D20" s="15"/>
      <c r="E20" s="15"/>
      <c r="F20" s="15"/>
      <c r="G20" s="15"/>
      <c r="H20" s="15"/>
      <c r="I20" s="15"/>
      <c r="J20" s="15"/>
      <c r="K20" s="15"/>
      <c r="L20" s="15"/>
      <c r="M20" s="15"/>
      <c r="N20" s="15"/>
      <c r="O20" s="15"/>
      <c r="P20" s="15"/>
      <c r="Q20" s="15"/>
    </row>
    <row r="21" spans="2:31" ht="25.15" customHeight="1">
      <c r="B21" s="531" t="s">
        <v>488</v>
      </c>
      <c r="C21" s="531"/>
      <c r="D21" s="531"/>
      <c r="E21" s="531"/>
      <c r="F21" s="531"/>
      <c r="G21" s="531"/>
      <c r="H21" s="531"/>
      <c r="I21" s="531"/>
      <c r="J21" s="531"/>
      <c r="K21" s="531"/>
      <c r="L21" s="531"/>
      <c r="M21" s="531"/>
      <c r="N21" s="531"/>
      <c r="O21" s="531"/>
      <c r="P21" s="531"/>
      <c r="Q21" s="531"/>
    </row>
    <row r="22" spans="2:31" ht="25.15" customHeight="1">
      <c r="B22" s="532" t="s">
        <v>390</v>
      </c>
      <c r="C22" s="532"/>
      <c r="D22" s="532"/>
      <c r="E22" s="532"/>
      <c r="F22" s="532"/>
      <c r="G22" s="532"/>
      <c r="H22" s="532"/>
      <c r="I22" s="532"/>
      <c r="J22" s="532"/>
      <c r="K22" s="532"/>
      <c r="L22" s="532"/>
      <c r="M22" s="532"/>
      <c r="N22" s="532"/>
      <c r="O22" s="532"/>
      <c r="P22" s="532"/>
      <c r="Q22" s="532"/>
    </row>
    <row r="23" spans="2:31" ht="25.15" customHeight="1">
      <c r="B23" s="180"/>
      <c r="C23" s="180"/>
      <c r="D23" s="180"/>
      <c r="E23" s="180"/>
      <c r="F23" s="180"/>
      <c r="G23" s="180"/>
      <c r="H23" s="180"/>
      <c r="I23" s="180"/>
      <c r="J23" s="180"/>
      <c r="K23" s="180"/>
      <c r="L23" s="180"/>
      <c r="M23" s="180"/>
      <c r="N23" s="180"/>
      <c r="O23" s="180"/>
      <c r="P23" s="180"/>
      <c r="Q23" s="145" t="s">
        <v>203</v>
      </c>
    </row>
    <row r="24" spans="2:31" ht="25.15" customHeight="1">
      <c r="B24" s="208" t="s">
        <v>64</v>
      </c>
      <c r="C24" s="209">
        <v>2010</v>
      </c>
      <c r="D24" s="209">
        <v>2011</v>
      </c>
      <c r="E24" s="209">
        <v>2012</v>
      </c>
      <c r="F24" s="209">
        <v>2013</v>
      </c>
      <c r="G24" s="209">
        <v>2014</v>
      </c>
      <c r="H24" s="209">
        <v>2015</v>
      </c>
      <c r="I24" s="209">
        <v>2016</v>
      </c>
      <c r="J24" s="49">
        <v>2017</v>
      </c>
      <c r="K24" s="49">
        <v>2018</v>
      </c>
      <c r="L24" s="49">
        <v>2019</v>
      </c>
      <c r="M24" s="49">
        <v>2020</v>
      </c>
      <c r="N24" s="49">
        <v>2021</v>
      </c>
      <c r="O24" s="49" t="s">
        <v>185</v>
      </c>
      <c r="P24" s="49" t="s">
        <v>186</v>
      </c>
      <c r="Q24" s="210" t="s">
        <v>65</v>
      </c>
    </row>
    <row r="25" spans="2:31" ht="25.15" customHeight="1">
      <c r="B25" s="44" t="s">
        <v>403</v>
      </c>
      <c r="C25" s="212">
        <v>50.460380632114379</v>
      </c>
      <c r="D25" s="212">
        <v>46.989011297144998</v>
      </c>
      <c r="E25" s="212">
        <v>40.780763099674274</v>
      </c>
      <c r="F25" s="212">
        <v>43.447307898620089</v>
      </c>
      <c r="G25" s="212">
        <v>46.481654143861917</v>
      </c>
      <c r="H25" s="212">
        <v>53.493657915638217</v>
      </c>
      <c r="I25" s="212">
        <v>54.014968432433463</v>
      </c>
      <c r="J25" s="212">
        <v>53.930731584093941</v>
      </c>
      <c r="K25" s="212">
        <v>50.378194466592859</v>
      </c>
      <c r="L25" s="212">
        <v>52.279640920365075</v>
      </c>
      <c r="M25" s="212">
        <v>61.491371509438821</v>
      </c>
      <c r="N25" s="212">
        <v>55.475744687089637</v>
      </c>
      <c r="O25" s="212">
        <v>54.812996658534082</v>
      </c>
      <c r="P25" s="212">
        <v>58.032136888835495</v>
      </c>
      <c r="Q25" s="32" t="s">
        <v>450</v>
      </c>
      <c r="R25" s="133"/>
      <c r="S25" s="133"/>
      <c r="T25" s="133"/>
      <c r="U25" s="133"/>
      <c r="V25" s="133"/>
      <c r="W25" s="133"/>
      <c r="X25" s="133"/>
      <c r="Y25" s="133"/>
      <c r="Z25" s="133"/>
      <c r="AA25" s="133"/>
      <c r="AB25" s="133"/>
      <c r="AC25" s="133"/>
      <c r="AD25" s="133"/>
      <c r="AE25" s="133"/>
    </row>
    <row r="26" spans="2:31" ht="25.15" customHeight="1">
      <c r="B26" s="202" t="s">
        <v>180</v>
      </c>
      <c r="C26" s="325">
        <v>40.776890966645226</v>
      </c>
      <c r="D26" s="325">
        <v>37.316137924570057</v>
      </c>
      <c r="E26" s="325">
        <v>31.303812272896277</v>
      </c>
      <c r="F26" s="325">
        <v>32.740386552350039</v>
      </c>
      <c r="G26" s="325">
        <v>35.839338311325413</v>
      </c>
      <c r="H26" s="325">
        <v>41.472581813422977</v>
      </c>
      <c r="I26" s="325">
        <v>41.90267517453983</v>
      </c>
      <c r="J26" s="325">
        <v>40.884955038344337</v>
      </c>
      <c r="K26" s="325">
        <v>37.868213017346072</v>
      </c>
      <c r="L26" s="325">
        <v>39.192111335472724</v>
      </c>
      <c r="M26" s="325">
        <v>46.311806968457681</v>
      </c>
      <c r="N26" s="325">
        <v>40.864851167072182</v>
      </c>
      <c r="O26" s="325">
        <v>42.165475888029</v>
      </c>
      <c r="P26" s="325">
        <v>45.612935359032555</v>
      </c>
      <c r="Q26" s="326" t="s">
        <v>195</v>
      </c>
      <c r="R26" s="133"/>
      <c r="S26" s="133"/>
      <c r="T26" s="133"/>
      <c r="U26" s="133"/>
      <c r="V26" s="133"/>
      <c r="W26" s="133"/>
      <c r="X26" s="133"/>
      <c r="Y26" s="133"/>
      <c r="Z26" s="133"/>
      <c r="AA26" s="133"/>
      <c r="AB26" s="133"/>
      <c r="AC26" s="133"/>
      <c r="AD26" s="133"/>
      <c r="AE26" s="133"/>
    </row>
    <row r="27" spans="2:31" ht="25.15" customHeight="1">
      <c r="B27" s="202" t="s">
        <v>194</v>
      </c>
      <c r="C27" s="325">
        <v>9.6834896654691587</v>
      </c>
      <c r="D27" s="325">
        <v>9.6728733725749354</v>
      </c>
      <c r="E27" s="325">
        <v>9.4769508267779976</v>
      </c>
      <c r="F27" s="325">
        <v>10.706921346270052</v>
      </c>
      <c r="G27" s="325">
        <v>10.642315832536505</v>
      </c>
      <c r="H27" s="325">
        <v>12.021076102215247</v>
      </c>
      <c r="I27" s="325">
        <v>12.112293257893629</v>
      </c>
      <c r="J27" s="325">
        <v>13.045776545749598</v>
      </c>
      <c r="K27" s="325">
        <v>12.509981449246791</v>
      </c>
      <c r="L27" s="325">
        <v>13.087529584892351</v>
      </c>
      <c r="M27" s="325">
        <v>15.179564540981131</v>
      </c>
      <c r="N27" s="325">
        <v>14.61089352001745</v>
      </c>
      <c r="O27" s="325">
        <v>12.647520770505086</v>
      </c>
      <c r="P27" s="325">
        <v>12.419201529802933</v>
      </c>
      <c r="Q27" s="326" t="s">
        <v>196</v>
      </c>
      <c r="R27" s="133"/>
      <c r="S27" s="133"/>
      <c r="T27" s="133"/>
      <c r="U27" s="133"/>
      <c r="V27" s="133"/>
      <c r="W27" s="133"/>
      <c r="X27" s="133"/>
      <c r="Y27" s="133"/>
      <c r="Z27" s="133"/>
      <c r="AA27" s="133"/>
      <c r="AB27" s="133"/>
      <c r="AC27" s="133"/>
      <c r="AD27" s="133"/>
      <c r="AE27" s="133"/>
    </row>
    <row r="28" spans="2:31" ht="25.15" customHeight="1">
      <c r="B28" s="417" t="s">
        <v>155</v>
      </c>
      <c r="C28" s="419">
        <v>29.646369360426185</v>
      </c>
      <c r="D28" s="419">
        <v>25.326445828972862</v>
      </c>
      <c r="E28" s="419">
        <v>23.91978076418166</v>
      </c>
      <c r="F28" s="419">
        <v>21.638002381586663</v>
      </c>
      <c r="G28" s="419">
        <v>22.700789559847205</v>
      </c>
      <c r="H28" s="419">
        <v>22.326967516966683</v>
      </c>
      <c r="I28" s="419">
        <v>21.635618563468206</v>
      </c>
      <c r="J28" s="419">
        <v>21.281463232479215</v>
      </c>
      <c r="K28" s="419">
        <v>21.830620782951232</v>
      </c>
      <c r="L28" s="419">
        <v>24.06927804237564</v>
      </c>
      <c r="M28" s="419">
        <v>23.328863036210318</v>
      </c>
      <c r="N28" s="419">
        <v>25.827019696468788</v>
      </c>
      <c r="O28" s="419">
        <v>26.507960420076198</v>
      </c>
      <c r="P28" s="419">
        <v>27.078656324271051</v>
      </c>
      <c r="Q28" s="418" t="s">
        <v>306</v>
      </c>
      <c r="R28" s="133"/>
      <c r="S28" s="133"/>
      <c r="T28" s="133"/>
      <c r="U28" s="133"/>
      <c r="V28" s="133"/>
      <c r="W28" s="133"/>
      <c r="X28" s="133"/>
      <c r="Y28" s="133"/>
      <c r="Z28" s="133"/>
      <c r="AA28" s="133"/>
      <c r="AB28" s="133"/>
      <c r="AC28" s="133"/>
      <c r="AD28" s="133"/>
      <c r="AE28" s="133"/>
    </row>
    <row r="29" spans="2:31" ht="25.15" customHeight="1">
      <c r="B29" s="420" t="s">
        <v>15</v>
      </c>
      <c r="C29" s="424">
        <v>79.392673458492695</v>
      </c>
      <c r="D29" s="424">
        <v>87.538602444707394</v>
      </c>
      <c r="E29" s="424">
        <v>97.634963379221048</v>
      </c>
      <c r="F29" s="424">
        <v>98.007586087796454</v>
      </c>
      <c r="G29" s="424">
        <v>97.252570647793164</v>
      </c>
      <c r="H29" s="424">
        <v>96.827805635307513</v>
      </c>
      <c r="I29" s="424">
        <v>97.663121086092744</v>
      </c>
      <c r="J29" s="424">
        <v>97.854306032127312</v>
      </c>
      <c r="K29" s="424">
        <v>93.716981017345205</v>
      </c>
      <c r="L29" s="424">
        <v>96.859599931304317</v>
      </c>
      <c r="M29" s="424">
        <v>100.23015894653038</v>
      </c>
      <c r="N29" s="424">
        <v>102.40308410816988</v>
      </c>
      <c r="O29" s="424">
        <v>103.81225233438347</v>
      </c>
      <c r="P29" s="424">
        <v>108.61087139273972</v>
      </c>
      <c r="Q29" s="352" t="s">
        <v>101</v>
      </c>
      <c r="R29" s="133"/>
      <c r="S29" s="133"/>
      <c r="T29" s="133"/>
      <c r="U29" s="133"/>
      <c r="V29" s="133"/>
      <c r="W29" s="133"/>
      <c r="X29" s="133"/>
      <c r="Y29" s="133"/>
      <c r="Z29" s="133"/>
      <c r="AA29" s="133"/>
      <c r="AB29" s="133"/>
      <c r="AC29" s="133"/>
      <c r="AD29" s="133"/>
      <c r="AE29" s="133"/>
    </row>
    <row r="30" spans="2:31" ht="25.15" customHeight="1">
      <c r="B30" s="202" t="s">
        <v>108</v>
      </c>
      <c r="C30" s="325">
        <v>75.483178878526701</v>
      </c>
      <c r="D30" s="325">
        <v>83.991856197944387</v>
      </c>
      <c r="E30" s="325">
        <v>93.717033699249981</v>
      </c>
      <c r="F30" s="325">
        <v>92.700750827946791</v>
      </c>
      <c r="G30" s="325">
        <v>91.499027297990423</v>
      </c>
      <c r="H30" s="325">
        <v>80.414069615105007</v>
      </c>
      <c r="I30" s="325">
        <v>79.898815838705445</v>
      </c>
      <c r="J30" s="325">
        <v>79.80209010529407</v>
      </c>
      <c r="K30" s="325">
        <v>76.896638390881961</v>
      </c>
      <c r="L30" s="325">
        <v>75.264454875799842</v>
      </c>
      <c r="M30" s="325">
        <v>77.876166667837794</v>
      </c>
      <c r="N30" s="325">
        <v>77.874378211510475</v>
      </c>
      <c r="O30" s="325">
        <v>73.101901311882216</v>
      </c>
      <c r="P30" s="325">
        <v>77.093148400572531</v>
      </c>
      <c r="Q30" s="326" t="s">
        <v>199</v>
      </c>
      <c r="R30" s="133"/>
      <c r="S30" s="133"/>
      <c r="T30" s="133"/>
      <c r="U30" s="133"/>
      <c r="V30" s="133"/>
      <c r="W30" s="133"/>
      <c r="X30" s="133"/>
      <c r="Y30" s="133"/>
      <c r="Z30" s="133"/>
      <c r="AA30" s="133"/>
      <c r="AB30" s="133"/>
      <c r="AC30" s="133"/>
      <c r="AD30" s="133"/>
      <c r="AE30" s="133"/>
    </row>
    <row r="31" spans="2:31" ht="25.15" customHeight="1">
      <c r="B31" s="202" t="s">
        <v>107</v>
      </c>
      <c r="C31" s="325">
        <v>3.9094945799659935</v>
      </c>
      <c r="D31" s="325">
        <v>3.5467462467629987</v>
      </c>
      <c r="E31" s="325">
        <v>3.9179296799710621</v>
      </c>
      <c r="F31" s="325">
        <v>5.3068352598496684</v>
      </c>
      <c r="G31" s="325">
        <v>5.753543349802742</v>
      </c>
      <c r="H31" s="325">
        <v>16.413736020202503</v>
      </c>
      <c r="I31" s="325">
        <v>17.764305247387302</v>
      </c>
      <c r="J31" s="325">
        <v>18.052215926833235</v>
      </c>
      <c r="K31" s="325">
        <v>16.820342626463237</v>
      </c>
      <c r="L31" s="325">
        <v>21.595145055504474</v>
      </c>
      <c r="M31" s="325">
        <v>22.353992278692587</v>
      </c>
      <c r="N31" s="325">
        <v>24.528705896659396</v>
      </c>
      <c r="O31" s="325">
        <v>30.710351022501246</v>
      </c>
      <c r="P31" s="325">
        <v>31.517722992167212</v>
      </c>
      <c r="Q31" s="326" t="s">
        <v>200</v>
      </c>
      <c r="R31" s="133"/>
      <c r="S31" s="133"/>
      <c r="T31" s="133"/>
      <c r="U31" s="133"/>
      <c r="V31" s="133"/>
      <c r="W31" s="133"/>
      <c r="X31" s="133"/>
      <c r="Y31" s="133"/>
      <c r="Z31" s="133"/>
      <c r="AA31" s="133"/>
      <c r="AB31" s="133"/>
      <c r="AC31" s="133"/>
      <c r="AD31" s="133"/>
      <c r="AE31" s="133"/>
    </row>
    <row r="32" spans="2:31" ht="25.15" customHeight="1">
      <c r="B32" s="420" t="s">
        <v>41</v>
      </c>
      <c r="C32" s="424">
        <v>59.499423451033252</v>
      </c>
      <c r="D32" s="424">
        <v>59.85405957082525</v>
      </c>
      <c r="E32" s="424">
        <v>62.335507243076989</v>
      </c>
      <c r="F32" s="424">
        <v>63.092896368003217</v>
      </c>
      <c r="G32" s="424">
        <v>66.435014351502303</v>
      </c>
      <c r="H32" s="424">
        <v>72.648431067912441</v>
      </c>
      <c r="I32" s="424">
        <v>73.313708081994406</v>
      </c>
      <c r="J32" s="424">
        <v>73.066500848700443</v>
      </c>
      <c r="K32" s="424">
        <v>65.925796266889307</v>
      </c>
      <c r="L32" s="424">
        <v>73.208518894045028</v>
      </c>
      <c r="M32" s="424">
        <v>85.050393492179509</v>
      </c>
      <c r="N32" s="424">
        <v>83.705848491728304</v>
      </c>
      <c r="O32" s="424">
        <v>85.133209412993764</v>
      </c>
      <c r="P32" s="424">
        <v>93.721664605846271</v>
      </c>
      <c r="Q32" s="352" t="s">
        <v>42</v>
      </c>
      <c r="R32" s="133"/>
      <c r="S32" s="133"/>
      <c r="T32" s="133"/>
      <c r="U32" s="133"/>
      <c r="V32" s="133"/>
      <c r="W32" s="133"/>
      <c r="X32" s="133"/>
      <c r="Y32" s="133"/>
      <c r="Z32" s="133"/>
      <c r="AA32" s="133"/>
      <c r="AB32" s="133"/>
      <c r="AC32" s="133"/>
      <c r="AD32" s="133"/>
      <c r="AE32" s="133"/>
    </row>
    <row r="33" spans="2:31" ht="25.15" customHeight="1">
      <c r="B33" s="204" t="s">
        <v>197</v>
      </c>
      <c r="C33" s="212">
        <v>45.475041397596542</v>
      </c>
      <c r="D33" s="212">
        <v>44.175630055666367</v>
      </c>
      <c r="E33" s="212">
        <v>45.916875655037806</v>
      </c>
      <c r="F33" s="212">
        <v>47.553394145571623</v>
      </c>
      <c r="G33" s="212">
        <v>50.772225483810729</v>
      </c>
      <c r="H33" s="212">
        <v>50.53548115180628</v>
      </c>
      <c r="I33" s="212">
        <v>50.608728481867594</v>
      </c>
      <c r="J33" s="212">
        <v>54.67959725694331</v>
      </c>
      <c r="K33" s="212">
        <v>48.990682538350121</v>
      </c>
      <c r="L33" s="212">
        <v>52.108466153538544</v>
      </c>
      <c r="M33" s="212">
        <v>67.347963914908831</v>
      </c>
      <c r="N33" s="212">
        <v>65.374903844358528</v>
      </c>
      <c r="O33" s="212">
        <v>65.856641637141564</v>
      </c>
      <c r="P33" s="212">
        <v>73.262420122777556</v>
      </c>
      <c r="Q33" s="423" t="s">
        <v>201</v>
      </c>
      <c r="R33" s="133"/>
      <c r="S33" s="133"/>
      <c r="T33" s="133"/>
      <c r="U33" s="133"/>
      <c r="V33" s="133"/>
      <c r="W33" s="133"/>
      <c r="X33" s="133"/>
      <c r="Y33" s="133"/>
      <c r="Z33" s="133"/>
      <c r="AA33" s="133"/>
      <c r="AB33" s="133"/>
      <c r="AC33" s="133"/>
      <c r="AD33" s="133"/>
      <c r="AE33" s="133"/>
    </row>
    <row r="34" spans="2:31" ht="25.15" customHeight="1">
      <c r="B34" s="205" t="s">
        <v>198</v>
      </c>
      <c r="C34" s="212">
        <v>14.02438205343671</v>
      </c>
      <c r="D34" s="212">
        <v>15.678429515158887</v>
      </c>
      <c r="E34" s="212">
        <v>16.418631588039194</v>
      </c>
      <c r="F34" s="212">
        <v>15.539502222431592</v>
      </c>
      <c r="G34" s="212">
        <v>15.66278886769158</v>
      </c>
      <c r="H34" s="212">
        <v>22.112949916106153</v>
      </c>
      <c r="I34" s="212">
        <v>22.704979600126816</v>
      </c>
      <c r="J34" s="212">
        <v>18.386903591757143</v>
      </c>
      <c r="K34" s="212">
        <v>16.935113728539179</v>
      </c>
      <c r="L34" s="212">
        <v>21.100052740506484</v>
      </c>
      <c r="M34" s="212">
        <v>17.702429577270674</v>
      </c>
      <c r="N34" s="212">
        <v>18.33094464736979</v>
      </c>
      <c r="O34" s="212">
        <v>19.276567775852193</v>
      </c>
      <c r="P34" s="212">
        <v>20.459244483068723</v>
      </c>
      <c r="Q34" s="207" t="s">
        <v>202</v>
      </c>
      <c r="R34" s="133"/>
      <c r="S34" s="133"/>
      <c r="T34" s="133"/>
      <c r="U34" s="133"/>
      <c r="V34" s="133"/>
      <c r="W34" s="133"/>
      <c r="X34" s="133"/>
      <c r="Y34" s="133"/>
      <c r="Z34" s="133"/>
      <c r="AA34" s="133"/>
      <c r="AB34" s="133"/>
      <c r="AC34" s="133"/>
      <c r="AD34" s="133"/>
      <c r="AE34" s="133"/>
    </row>
    <row r="35" spans="2:31" ht="25.15" customHeight="1" thickBot="1">
      <c r="B35" s="142" t="s">
        <v>16</v>
      </c>
      <c r="C35" s="213">
        <v>100</v>
      </c>
      <c r="D35" s="213">
        <v>100</v>
      </c>
      <c r="E35" s="213">
        <v>100</v>
      </c>
      <c r="F35" s="213">
        <v>100</v>
      </c>
      <c r="G35" s="213">
        <v>100</v>
      </c>
      <c r="H35" s="213">
        <v>100</v>
      </c>
      <c r="I35" s="213">
        <v>100</v>
      </c>
      <c r="J35" s="213">
        <v>100</v>
      </c>
      <c r="K35" s="213">
        <v>100</v>
      </c>
      <c r="L35" s="213">
        <v>100</v>
      </c>
      <c r="M35" s="213">
        <v>100</v>
      </c>
      <c r="N35" s="213">
        <v>100</v>
      </c>
      <c r="O35" s="213">
        <v>100</v>
      </c>
      <c r="P35" s="213">
        <v>100</v>
      </c>
      <c r="Q35" s="144" t="s">
        <v>20</v>
      </c>
      <c r="R35" s="133"/>
      <c r="S35" s="133"/>
      <c r="T35" s="133"/>
      <c r="U35" s="133"/>
      <c r="V35" s="133"/>
      <c r="W35" s="133"/>
      <c r="X35" s="133"/>
      <c r="Y35" s="133"/>
      <c r="Z35" s="133"/>
      <c r="AA35" s="133"/>
      <c r="AB35" s="133"/>
      <c r="AC35" s="133"/>
      <c r="AD35" s="133"/>
      <c r="AE35" s="133"/>
    </row>
    <row r="36" spans="2:31" ht="24.95" customHeight="1">
      <c r="B36" s="534" t="s">
        <v>326</v>
      </c>
      <c r="C36" s="534"/>
      <c r="D36" s="31"/>
      <c r="E36" s="31"/>
      <c r="F36" s="31"/>
      <c r="G36" s="31"/>
      <c r="H36" s="31"/>
      <c r="I36" s="31"/>
      <c r="J36" s="31"/>
      <c r="K36" s="31"/>
      <c r="L36" s="31"/>
      <c r="M36" s="31"/>
      <c r="N36" s="31"/>
      <c r="O36" s="31"/>
      <c r="P36" s="31"/>
      <c r="Q36" s="313" t="s">
        <v>327</v>
      </c>
      <c r="S36" s="133"/>
      <c r="T36" s="133"/>
      <c r="U36" s="133"/>
      <c r="V36" s="133"/>
      <c r="W36" s="133"/>
      <c r="X36" s="133"/>
      <c r="Y36" s="133"/>
      <c r="Z36" s="133"/>
      <c r="AA36" s="133"/>
      <c r="AB36" s="133"/>
    </row>
    <row r="37" spans="2:31" ht="24.95" customHeight="1">
      <c r="B37" s="535" t="s">
        <v>399</v>
      </c>
      <c r="C37" s="535"/>
      <c r="D37" s="11"/>
      <c r="E37" s="11"/>
      <c r="F37" s="12"/>
      <c r="G37" s="12"/>
      <c r="N37" s="177"/>
      <c r="O37" s="177"/>
      <c r="P37" s="177"/>
      <c r="Q37" s="313" t="s">
        <v>193</v>
      </c>
    </row>
    <row r="38" spans="2:31" ht="24.95" customHeight="1">
      <c r="B38" s="81" t="s">
        <v>192</v>
      </c>
      <c r="C38" s="81"/>
      <c r="D38" s="78"/>
      <c r="E38" s="78"/>
      <c r="F38" s="79"/>
      <c r="G38" s="80"/>
      <c r="H38" s="8"/>
      <c r="I38" s="8"/>
      <c r="J38" s="8"/>
      <c r="K38" s="100"/>
      <c r="L38" s="100"/>
      <c r="M38" s="100"/>
      <c r="N38" s="100"/>
      <c r="O38" s="100"/>
      <c r="P38" s="100"/>
      <c r="Q38" s="81" t="s">
        <v>551</v>
      </c>
    </row>
    <row r="39" spans="2:31" ht="24.95" customHeight="1">
      <c r="B39" s="27"/>
      <c r="C39" s="324"/>
      <c r="D39" s="33"/>
      <c r="E39" s="33"/>
      <c r="F39" s="33"/>
      <c r="G39" s="33"/>
      <c r="H39" s="33"/>
      <c r="I39" s="33"/>
      <c r="J39" s="33"/>
      <c r="K39" s="33"/>
      <c r="L39" s="33"/>
      <c r="M39" s="33"/>
      <c r="N39" s="33"/>
      <c r="O39" s="33"/>
      <c r="P39" s="33"/>
      <c r="Q39" s="33"/>
    </row>
    <row r="40" spans="2:31" ht="25.15" customHeight="1">
      <c r="B40" s="531" t="s">
        <v>449</v>
      </c>
      <c r="C40" s="531"/>
      <c r="D40" s="531"/>
      <c r="E40" s="531"/>
      <c r="F40" s="531"/>
      <c r="G40" s="531"/>
      <c r="H40" s="531"/>
      <c r="I40" s="531"/>
      <c r="J40" s="531"/>
      <c r="K40" s="531"/>
      <c r="L40" s="531"/>
      <c r="M40" s="531"/>
      <c r="N40" s="531"/>
      <c r="O40" s="531"/>
      <c r="P40" s="531"/>
      <c r="Q40" s="531"/>
    </row>
    <row r="41" spans="2:31" ht="25.15" customHeight="1">
      <c r="B41" s="532" t="s">
        <v>391</v>
      </c>
      <c r="C41" s="532"/>
      <c r="D41" s="532"/>
      <c r="E41" s="532"/>
      <c r="F41" s="532"/>
      <c r="G41" s="532"/>
      <c r="H41" s="532"/>
      <c r="I41" s="532"/>
      <c r="J41" s="532"/>
      <c r="K41" s="532"/>
      <c r="L41" s="532"/>
      <c r="M41" s="532"/>
      <c r="N41" s="532"/>
      <c r="O41" s="532"/>
      <c r="P41" s="532"/>
      <c r="Q41" s="532"/>
    </row>
    <row r="42" spans="2:31" ht="25.15" customHeight="1">
      <c r="B42" s="180"/>
      <c r="C42" s="180"/>
      <c r="D42" s="180"/>
      <c r="E42" s="180"/>
      <c r="F42" s="180"/>
      <c r="G42" s="180"/>
      <c r="H42" s="180"/>
      <c r="I42" s="180"/>
      <c r="J42" s="180"/>
      <c r="K42" s="180"/>
      <c r="L42" s="180"/>
      <c r="M42" s="180"/>
      <c r="N42" s="180"/>
      <c r="O42" s="180"/>
      <c r="P42" s="180"/>
      <c r="Q42" s="145" t="s">
        <v>203</v>
      </c>
    </row>
    <row r="43" spans="2:31" ht="25.15" customHeight="1">
      <c r="B43" s="208" t="s">
        <v>328</v>
      </c>
      <c r="C43" s="209">
        <v>2010</v>
      </c>
      <c r="D43" s="209">
        <v>2011</v>
      </c>
      <c r="E43" s="209">
        <v>2012</v>
      </c>
      <c r="F43" s="209">
        <v>2013</v>
      </c>
      <c r="G43" s="209">
        <v>2014</v>
      </c>
      <c r="H43" s="209">
        <v>2015</v>
      </c>
      <c r="I43" s="209">
        <v>2016</v>
      </c>
      <c r="J43" s="49">
        <v>2017</v>
      </c>
      <c r="K43" s="49">
        <v>2018</v>
      </c>
      <c r="L43" s="49">
        <v>2019</v>
      </c>
      <c r="M43" s="49">
        <v>2020</v>
      </c>
      <c r="N43" s="49">
        <v>2021</v>
      </c>
      <c r="O43" s="49" t="s">
        <v>185</v>
      </c>
      <c r="P43" s="49" t="s">
        <v>186</v>
      </c>
      <c r="Q43" s="210" t="s">
        <v>329</v>
      </c>
    </row>
    <row r="44" spans="2:31" ht="25.15" customHeight="1">
      <c r="B44" s="44" t="s">
        <v>100</v>
      </c>
      <c r="C44" s="214" t="s">
        <v>116</v>
      </c>
      <c r="D44" s="425">
        <v>11.93267176287649</v>
      </c>
      <c r="E44" s="425">
        <v>-7.4931657485948877</v>
      </c>
      <c r="F44" s="425">
        <v>10.862330085784254</v>
      </c>
      <c r="G44" s="425">
        <v>10.696112673547509</v>
      </c>
      <c r="H44" s="425">
        <v>2.9046035006702775</v>
      </c>
      <c r="I44" s="425">
        <v>0.69633349866569105</v>
      </c>
      <c r="J44" s="425">
        <v>5.5930034601953338</v>
      </c>
      <c r="K44" s="425">
        <v>2.1514908179758763</v>
      </c>
      <c r="L44" s="425">
        <v>1.5728062933992648</v>
      </c>
      <c r="M44" s="425">
        <v>-1.6601303730009342</v>
      </c>
      <c r="N44" s="425">
        <v>7.1791912462331409</v>
      </c>
      <c r="O44" s="425">
        <v>19.641463616127197</v>
      </c>
      <c r="P44" s="425">
        <v>8.2734198895501265</v>
      </c>
      <c r="Q44" s="32" t="s">
        <v>99</v>
      </c>
      <c r="R44" s="133"/>
      <c r="S44" s="133"/>
      <c r="T44" s="133"/>
      <c r="U44" s="133"/>
      <c r="V44" s="133"/>
      <c r="W44" s="133"/>
      <c r="X44" s="133"/>
      <c r="Y44" s="133"/>
      <c r="Z44" s="133"/>
      <c r="AA44" s="133"/>
      <c r="AB44" s="133"/>
      <c r="AC44" s="133"/>
      <c r="AD44" s="133"/>
      <c r="AE44" s="133"/>
    </row>
    <row r="45" spans="2:31" ht="25.15" customHeight="1">
      <c r="B45" s="202" t="s">
        <v>180</v>
      </c>
      <c r="C45" s="215" t="s">
        <v>116</v>
      </c>
      <c r="D45" s="426">
        <v>10.000248177624748</v>
      </c>
      <c r="E45" s="426">
        <v>-10.583983378246808</v>
      </c>
      <c r="F45" s="426">
        <v>8.8336140142406308</v>
      </c>
      <c r="G45" s="426">
        <v>13.263465873162694</v>
      </c>
      <c r="H45" s="426">
        <v>3.4701722628194931</v>
      </c>
      <c r="I45" s="426">
        <v>0.75868823131692853</v>
      </c>
      <c r="J45" s="426">
        <v>3.1893156311356252</v>
      </c>
      <c r="K45" s="426">
        <v>1.2860674087070478</v>
      </c>
      <c r="L45" s="426">
        <v>1.3004332316283396</v>
      </c>
      <c r="M45" s="426">
        <v>-1.2036020718424911</v>
      </c>
      <c r="N45" s="426">
        <v>4.8285816353388133</v>
      </c>
      <c r="O45" s="426">
        <v>24.941983680703572</v>
      </c>
      <c r="P45" s="426">
        <v>10.628711207709006</v>
      </c>
      <c r="Q45" s="326" t="s">
        <v>195</v>
      </c>
      <c r="R45" s="133"/>
      <c r="S45" s="133"/>
      <c r="T45" s="133"/>
      <c r="U45" s="133"/>
      <c r="V45" s="133"/>
      <c r="W45" s="133"/>
      <c r="X45" s="133"/>
      <c r="Y45" s="133"/>
      <c r="Z45" s="133"/>
      <c r="AA45" s="133"/>
      <c r="AB45" s="133"/>
      <c r="AC45" s="133"/>
      <c r="AD45" s="133"/>
      <c r="AE45" s="133"/>
    </row>
    <row r="46" spans="2:31" ht="25.15" customHeight="1">
      <c r="B46" s="202" t="s">
        <v>194</v>
      </c>
      <c r="C46" s="215" t="s">
        <v>116</v>
      </c>
      <c r="D46" s="426">
        <v>20.070050802808126</v>
      </c>
      <c r="E46" s="426">
        <v>4.4306310928684756</v>
      </c>
      <c r="F46" s="426">
        <v>17.563488318996392</v>
      </c>
      <c r="G46" s="426">
        <v>2.8454772337816348</v>
      </c>
      <c r="H46" s="426">
        <v>0.99997949552528276</v>
      </c>
      <c r="I46" s="426">
        <v>0.48121034917854022</v>
      </c>
      <c r="J46" s="426">
        <v>13.90860052984555</v>
      </c>
      <c r="K46" s="426">
        <v>4.8636940396855399</v>
      </c>
      <c r="L46" s="426">
        <v>2.3972904195486811</v>
      </c>
      <c r="M46" s="426">
        <v>-3.0272568341667472</v>
      </c>
      <c r="N46" s="426">
        <v>14.350739432878591</v>
      </c>
      <c r="O46" s="426">
        <v>4.8165685301260197</v>
      </c>
      <c r="P46" s="426">
        <v>0.42113159628123231</v>
      </c>
      <c r="Q46" s="326" t="s">
        <v>196</v>
      </c>
      <c r="R46" s="133"/>
      <c r="S46" s="133"/>
      <c r="T46" s="133"/>
      <c r="U46" s="133"/>
      <c r="V46" s="133"/>
      <c r="W46" s="133"/>
      <c r="X46" s="133"/>
      <c r="Y46" s="133"/>
      <c r="Z46" s="133"/>
      <c r="AA46" s="133"/>
      <c r="AB46" s="133"/>
      <c r="AC46" s="133"/>
      <c r="AD46" s="133"/>
      <c r="AE46" s="133"/>
    </row>
    <row r="47" spans="2:31" ht="25.15" customHeight="1">
      <c r="B47" s="44" t="s">
        <v>155</v>
      </c>
      <c r="C47" s="214" t="s">
        <v>116</v>
      </c>
      <c r="D47" s="425">
        <v>2.6866102621537991</v>
      </c>
      <c r="E47" s="425">
        <v>0.66945675061065302</v>
      </c>
      <c r="F47" s="425">
        <v>-5.8681816231132222</v>
      </c>
      <c r="G47" s="425">
        <v>8.5519089569726638</v>
      </c>
      <c r="H47" s="425">
        <v>-12.05667932750687</v>
      </c>
      <c r="I47" s="425">
        <v>-3.3634531534018075</v>
      </c>
      <c r="J47" s="425">
        <v>4.0267730841782035</v>
      </c>
      <c r="K47" s="425">
        <v>12.176793768570215</v>
      </c>
      <c r="L47" s="425">
        <v>7.9156503102595144</v>
      </c>
      <c r="M47" s="425">
        <v>-18.963895828348953</v>
      </c>
      <c r="N47" s="425">
        <v>31.523160047591613</v>
      </c>
      <c r="O47" s="425">
        <v>24.28059731683614</v>
      </c>
      <c r="P47" s="425">
        <v>4.4690473810480524</v>
      </c>
      <c r="Q47" s="147" t="s">
        <v>306</v>
      </c>
      <c r="R47" s="133"/>
      <c r="S47" s="133"/>
      <c r="T47" s="133"/>
      <c r="U47" s="133"/>
      <c r="V47" s="133"/>
      <c r="W47" s="133"/>
      <c r="X47" s="133"/>
      <c r="Y47" s="133"/>
      <c r="Z47" s="133"/>
      <c r="AA47" s="133"/>
      <c r="AB47" s="133"/>
      <c r="AC47" s="133"/>
      <c r="AD47" s="133"/>
      <c r="AE47" s="133"/>
    </row>
    <row r="48" spans="2:31" ht="25.15" customHeight="1">
      <c r="B48" s="44" t="s">
        <v>15</v>
      </c>
      <c r="C48" s="214" t="s">
        <v>116</v>
      </c>
      <c r="D48" s="425">
        <v>32.534903914265477</v>
      </c>
      <c r="E48" s="425">
        <v>18.883213723842161</v>
      </c>
      <c r="F48" s="425">
        <v>4.4553776988198512</v>
      </c>
      <c r="G48" s="425">
        <v>2.6727191190946575</v>
      </c>
      <c r="H48" s="425">
        <v>-10.974774495797558</v>
      </c>
      <c r="I48" s="425">
        <v>0.58479532163742132</v>
      </c>
      <c r="J48" s="425">
        <v>5.9649652672908449</v>
      </c>
      <c r="K48" s="425">
        <v>4.7313666809177812</v>
      </c>
      <c r="L48" s="425">
        <v>1.1607021363450709</v>
      </c>
      <c r="M48" s="425">
        <v>-13.482533661541762</v>
      </c>
      <c r="N48" s="425">
        <v>21.376925382713342</v>
      </c>
      <c r="O48" s="425">
        <v>22.754349503805926</v>
      </c>
      <c r="P48" s="425">
        <v>6.9945168733795526</v>
      </c>
      <c r="Q48" s="32" t="s">
        <v>101</v>
      </c>
      <c r="R48" s="133"/>
      <c r="S48" s="133"/>
      <c r="T48" s="133"/>
      <c r="U48" s="133"/>
      <c r="V48" s="133"/>
      <c r="W48" s="133"/>
      <c r="X48" s="133"/>
      <c r="Y48" s="133"/>
      <c r="Z48" s="133"/>
      <c r="AA48" s="133"/>
      <c r="AB48" s="133"/>
      <c r="AC48" s="133"/>
      <c r="AD48" s="133"/>
      <c r="AE48" s="133"/>
    </row>
    <row r="49" spans="2:31" ht="25.15" customHeight="1">
      <c r="B49" s="202" t="s">
        <v>108</v>
      </c>
      <c r="C49" s="214" t="s">
        <v>116</v>
      </c>
      <c r="D49" s="426">
        <v>33.75132186118055</v>
      </c>
      <c r="E49" s="426">
        <v>18.931290851508287</v>
      </c>
      <c r="F49" s="426">
        <v>2.929816013023756</v>
      </c>
      <c r="G49" s="426">
        <v>2.1284856420245468</v>
      </c>
      <c r="H49" s="426">
        <v>-21.41681141256425</v>
      </c>
      <c r="I49" s="426">
        <v>-0.91449474165523625</v>
      </c>
      <c r="J49" s="426">
        <v>5.6299030918320225</v>
      </c>
      <c r="K49" s="426">
        <v>5.3735255570118046</v>
      </c>
      <c r="L49" s="426">
        <v>-4.1990049751243763</v>
      </c>
      <c r="M49" s="426">
        <v>-13.490721506716518</v>
      </c>
      <c r="N49" s="426">
        <v>18.79865964124232</v>
      </c>
      <c r="O49" s="426">
        <v>13.667260408376404</v>
      </c>
      <c r="P49" s="426">
        <v>7.8509430961293036</v>
      </c>
      <c r="Q49" s="326" t="s">
        <v>199</v>
      </c>
      <c r="R49" s="133"/>
      <c r="S49" s="133"/>
      <c r="T49" s="133"/>
      <c r="U49" s="133"/>
      <c r="V49" s="133"/>
      <c r="W49" s="133"/>
      <c r="X49" s="133"/>
      <c r="Y49" s="133"/>
      <c r="Z49" s="133"/>
      <c r="AA49" s="133"/>
      <c r="AB49" s="133"/>
      <c r="AC49" s="133"/>
      <c r="AD49" s="133"/>
      <c r="AE49" s="133"/>
    </row>
    <row r="50" spans="2:31" ht="25.15" customHeight="1">
      <c r="B50" s="202" t="s">
        <v>107</v>
      </c>
      <c r="C50" s="214" t="s">
        <v>116</v>
      </c>
      <c r="D50" s="426">
        <v>9.0487238979118256</v>
      </c>
      <c r="E50" s="426">
        <v>17.744680851063819</v>
      </c>
      <c r="F50" s="426">
        <v>40.946873870617992</v>
      </c>
      <c r="G50" s="426">
        <v>12.179487179487181</v>
      </c>
      <c r="H50" s="426">
        <v>155.08571428571426</v>
      </c>
      <c r="I50" s="426">
        <v>7.9301075268817245</v>
      </c>
      <c r="J50" s="426">
        <v>7.4719800747198084</v>
      </c>
      <c r="K50" s="426">
        <v>1.8926226342216967</v>
      </c>
      <c r="L50" s="426">
        <v>25.663381349507208</v>
      </c>
      <c r="M50" s="426">
        <v>-13.453996983408745</v>
      </c>
      <c r="N50" s="426">
        <v>30.359010108051578</v>
      </c>
      <c r="O50" s="426">
        <v>51.604278074866315</v>
      </c>
      <c r="P50" s="426">
        <v>4.9559082892415951</v>
      </c>
      <c r="Q50" s="326" t="s">
        <v>200</v>
      </c>
      <c r="R50" s="133"/>
      <c r="S50" s="133"/>
      <c r="T50" s="133"/>
      <c r="U50" s="133"/>
      <c r="V50" s="133"/>
      <c r="W50" s="133"/>
      <c r="X50" s="133"/>
      <c r="Y50" s="133"/>
      <c r="Z50" s="133"/>
      <c r="AA50" s="133"/>
      <c r="AB50" s="133"/>
      <c r="AC50" s="133"/>
      <c r="AD50" s="133"/>
      <c r="AE50" s="133"/>
    </row>
    <row r="51" spans="2:31" ht="25.15" customHeight="1">
      <c r="B51" s="44" t="s">
        <v>41</v>
      </c>
      <c r="C51" s="214" t="s">
        <v>116</v>
      </c>
      <c r="D51" s="425">
        <v>20.918274009525149</v>
      </c>
      <c r="E51" s="425">
        <v>11.008609853484973</v>
      </c>
      <c r="F51" s="425">
        <v>5.3225694708663562</v>
      </c>
      <c r="G51" s="425">
        <v>8.9507527435970236</v>
      </c>
      <c r="H51" s="425">
        <v>-2.2215183922323578</v>
      </c>
      <c r="I51" s="425">
        <v>0.63771636805345366</v>
      </c>
      <c r="J51" s="425">
        <v>5.4013277006638605</v>
      </c>
      <c r="K51" s="425">
        <v>-1.3321881858955997</v>
      </c>
      <c r="L51" s="425">
        <v>8.6910265586010773</v>
      </c>
      <c r="M51" s="425">
        <v>-2.8679060722340055</v>
      </c>
      <c r="N51" s="425">
        <v>16.923280104464801</v>
      </c>
      <c r="O51" s="425">
        <v>23.152863746767991</v>
      </c>
      <c r="P51" s="425">
        <v>12.584298256775671</v>
      </c>
      <c r="Q51" s="32" t="s">
        <v>42</v>
      </c>
      <c r="R51" s="133"/>
      <c r="S51" s="133"/>
      <c r="T51" s="133"/>
      <c r="U51" s="133"/>
      <c r="V51" s="133"/>
      <c r="W51" s="133"/>
      <c r="X51" s="133"/>
      <c r="Y51" s="133"/>
      <c r="Z51" s="133"/>
      <c r="AA51" s="133"/>
      <c r="AB51" s="133"/>
      <c r="AC51" s="133"/>
      <c r="AD51" s="133"/>
      <c r="AE51" s="133"/>
    </row>
    <row r="52" spans="2:31" ht="25.15" customHeight="1">
      <c r="B52" s="204" t="s">
        <v>197</v>
      </c>
      <c r="C52" s="214" t="s">
        <v>116</v>
      </c>
      <c r="D52" s="426">
        <v>16.767164601854635</v>
      </c>
      <c r="E52" s="426">
        <v>10.790967497271087</v>
      </c>
      <c r="F52" s="426">
        <v>7.7669693339315726</v>
      </c>
      <c r="G52" s="426">
        <v>10.473559284689271</v>
      </c>
      <c r="H52" s="426">
        <v>-11.00117205965201</v>
      </c>
      <c r="I52" s="426">
        <v>-0.13096623981373456</v>
      </c>
      <c r="J52" s="426">
        <v>14.26489873233281</v>
      </c>
      <c r="K52" s="426">
        <v>-2.0224432542718662</v>
      </c>
      <c r="L52" s="426">
        <v>4.1075565504854694</v>
      </c>
      <c r="M52" s="426">
        <v>8.0598164220820436</v>
      </c>
      <c r="N52" s="426">
        <v>15.320922312480633</v>
      </c>
      <c r="O52" s="426">
        <v>21.980337078651679</v>
      </c>
      <c r="P52" s="426">
        <v>13.767579570688371</v>
      </c>
      <c r="Q52" s="206" t="s">
        <v>201</v>
      </c>
      <c r="R52" s="133"/>
      <c r="S52" s="133"/>
      <c r="T52" s="133"/>
      <c r="U52" s="133"/>
      <c r="V52" s="133"/>
      <c r="W52" s="133"/>
      <c r="X52" s="133"/>
      <c r="Y52" s="133"/>
      <c r="Z52" s="133"/>
      <c r="AA52" s="133"/>
      <c r="AB52" s="133"/>
      <c r="AC52" s="133"/>
      <c r="AD52" s="133"/>
      <c r="AE52" s="133"/>
    </row>
    <row r="53" spans="2:31" ht="25.15" customHeight="1">
      <c r="B53" s="205" t="s">
        <v>198</v>
      </c>
      <c r="C53" s="214" t="s">
        <v>116</v>
      </c>
      <c r="D53" s="426">
        <v>34.378537102793459</v>
      </c>
      <c r="E53" s="426">
        <v>11.621840164802366</v>
      </c>
      <c r="F53" s="426">
        <v>-1.5135181751541493</v>
      </c>
      <c r="G53" s="426">
        <v>4.2907180385288957</v>
      </c>
      <c r="H53" s="426">
        <v>26.238455079764901</v>
      </c>
      <c r="I53" s="426">
        <v>2.3944130362487437</v>
      </c>
      <c r="J53" s="426">
        <v>-14.355310165638191</v>
      </c>
      <c r="K53" s="426">
        <v>0.72051573758058485</v>
      </c>
      <c r="L53" s="426">
        <v>21.950301204819269</v>
      </c>
      <c r="M53" s="426">
        <v>-29.854893485643718</v>
      </c>
      <c r="N53" s="426">
        <v>23.0193661971831</v>
      </c>
      <c r="O53" s="426">
        <v>27.334525939177112</v>
      </c>
      <c r="P53" s="426">
        <v>8.5417252037089053</v>
      </c>
      <c r="Q53" s="207" t="s">
        <v>202</v>
      </c>
      <c r="R53" s="133"/>
      <c r="S53" s="133"/>
      <c r="T53" s="133"/>
      <c r="U53" s="133"/>
      <c r="V53" s="133"/>
      <c r="W53" s="133"/>
      <c r="X53" s="133"/>
      <c r="Y53" s="133"/>
      <c r="Z53" s="133"/>
      <c r="AA53" s="133"/>
      <c r="AB53" s="133"/>
      <c r="AC53" s="133"/>
      <c r="AD53" s="133"/>
      <c r="AE53" s="133"/>
    </row>
    <row r="54" spans="2:31" ht="25.15" customHeight="1" thickBot="1">
      <c r="B54" s="142" t="s">
        <v>16</v>
      </c>
      <c r="C54" s="216" t="s">
        <v>116</v>
      </c>
      <c r="D54" s="427">
        <v>20.201831585833887</v>
      </c>
      <c r="E54" s="427">
        <v>6.5895865920447605</v>
      </c>
      <c r="F54" s="427">
        <v>4.0582406269146887</v>
      </c>
      <c r="G54" s="427">
        <v>3.4698136090982157</v>
      </c>
      <c r="H54" s="427">
        <v>-10.584237905871552</v>
      </c>
      <c r="I54" s="427">
        <v>-0.27550929193483897</v>
      </c>
      <c r="J54" s="427">
        <v>5.7579339470796409</v>
      </c>
      <c r="K54" s="427">
        <v>9.3549439504531762</v>
      </c>
      <c r="L54" s="427">
        <v>-2.1214664469294098</v>
      </c>
      <c r="M54" s="427">
        <v>-16.391959618824469</v>
      </c>
      <c r="N54" s="427">
        <v>18.801387961126093</v>
      </c>
      <c r="O54" s="427">
        <v>21.088057471213272</v>
      </c>
      <c r="P54" s="427">
        <v>2.2673111965955117</v>
      </c>
      <c r="Q54" s="144" t="s">
        <v>20</v>
      </c>
      <c r="R54" s="133"/>
      <c r="S54" s="133"/>
      <c r="T54" s="133"/>
      <c r="U54" s="133"/>
      <c r="V54" s="133"/>
      <c r="W54" s="133"/>
      <c r="X54" s="133"/>
      <c r="Y54" s="133"/>
      <c r="Z54" s="133"/>
      <c r="AA54" s="133"/>
      <c r="AB54" s="133"/>
      <c r="AC54" s="133"/>
      <c r="AD54" s="133"/>
      <c r="AE54" s="133"/>
    </row>
    <row r="55" spans="2:31" ht="24.95" customHeight="1">
      <c r="B55" s="536" t="s">
        <v>115</v>
      </c>
      <c r="C55" s="536"/>
      <c r="D55" s="536"/>
      <c r="E55" s="536"/>
      <c r="F55" s="536"/>
      <c r="G55" s="228"/>
      <c r="H55" s="228"/>
      <c r="I55" s="228"/>
      <c r="J55" s="228"/>
      <c r="K55" s="228"/>
      <c r="L55" s="228"/>
      <c r="M55" s="228"/>
      <c r="N55" s="228"/>
      <c r="O55" s="228"/>
      <c r="P55" s="228"/>
      <c r="Q55" s="328" t="s">
        <v>394</v>
      </c>
      <c r="S55" s="133"/>
      <c r="T55" s="133"/>
      <c r="U55" s="133"/>
      <c r="V55" s="133"/>
      <c r="W55" s="133"/>
      <c r="X55" s="133"/>
      <c r="Y55" s="133"/>
      <c r="Z55" s="133"/>
      <c r="AA55" s="133"/>
      <c r="AB55" s="133"/>
    </row>
    <row r="56" spans="2:31" ht="24.95" customHeight="1">
      <c r="B56" s="535" t="s">
        <v>326</v>
      </c>
      <c r="C56" s="535"/>
      <c r="D56" s="31"/>
      <c r="E56" s="31"/>
      <c r="F56" s="31"/>
      <c r="G56" s="31"/>
      <c r="H56" s="31"/>
      <c r="I56" s="31"/>
      <c r="J56" s="31"/>
      <c r="K56" s="31"/>
      <c r="L56" s="31"/>
      <c r="M56" s="31"/>
      <c r="N56" s="31"/>
      <c r="O56" s="31"/>
      <c r="P56" s="31"/>
      <c r="Q56" s="313" t="s">
        <v>327</v>
      </c>
      <c r="S56" s="133"/>
      <c r="T56" s="133"/>
      <c r="U56" s="133"/>
      <c r="V56" s="133"/>
      <c r="W56" s="133"/>
      <c r="X56" s="133"/>
      <c r="Y56" s="133"/>
      <c r="Z56" s="133"/>
      <c r="AA56" s="133"/>
      <c r="AB56" s="133"/>
    </row>
    <row r="57" spans="2:31" ht="24.95" customHeight="1">
      <c r="B57" s="535" t="s">
        <v>399</v>
      </c>
      <c r="C57" s="535"/>
      <c r="D57" s="11"/>
      <c r="E57" s="11"/>
      <c r="F57" s="12"/>
      <c r="G57" s="12"/>
      <c r="N57" s="177"/>
      <c r="O57" s="177"/>
      <c r="P57" s="177"/>
      <c r="Q57" s="313" t="s">
        <v>193</v>
      </c>
    </row>
    <row r="58" spans="2:31" ht="24.95" customHeight="1">
      <c r="B58" s="81" t="s">
        <v>192</v>
      </c>
      <c r="C58" s="81"/>
      <c r="D58" s="78"/>
      <c r="E58" s="78"/>
      <c r="F58" s="79"/>
      <c r="G58" s="80"/>
      <c r="H58" s="8"/>
      <c r="I58" s="8"/>
      <c r="J58" s="8"/>
      <c r="K58" s="100"/>
      <c r="L58" s="100"/>
      <c r="M58" s="100"/>
      <c r="N58" s="100"/>
      <c r="O58" s="100"/>
      <c r="P58" s="100"/>
      <c r="Q58" s="81" t="s">
        <v>551</v>
      </c>
    </row>
    <row r="59" spans="2:31" ht="24.95" customHeight="1">
      <c r="B59" s="27"/>
      <c r="C59" s="324"/>
      <c r="D59" s="33"/>
      <c r="E59" s="33"/>
      <c r="F59" s="33"/>
      <c r="G59" s="33"/>
      <c r="H59" s="33"/>
      <c r="I59" s="33"/>
      <c r="J59" s="33"/>
      <c r="K59" s="33"/>
      <c r="L59" s="33"/>
      <c r="M59" s="33"/>
      <c r="N59" s="33"/>
      <c r="O59" s="33"/>
      <c r="P59" s="33"/>
      <c r="Q59" s="33"/>
    </row>
    <row r="60" spans="2:31" ht="25.15" customHeight="1">
      <c r="B60" s="531" t="s">
        <v>393</v>
      </c>
      <c r="C60" s="531"/>
      <c r="D60" s="531"/>
      <c r="E60" s="531"/>
      <c r="F60" s="531"/>
      <c r="G60" s="531"/>
      <c r="H60" s="531"/>
      <c r="I60" s="531"/>
      <c r="J60" s="531"/>
      <c r="K60" s="531"/>
      <c r="L60" s="531"/>
      <c r="M60" s="531"/>
      <c r="N60" s="531"/>
      <c r="O60" s="531"/>
      <c r="P60" s="531"/>
      <c r="Q60" s="531"/>
    </row>
    <row r="61" spans="2:31" ht="25.15" customHeight="1">
      <c r="B61" s="532" t="s">
        <v>392</v>
      </c>
      <c r="C61" s="532"/>
      <c r="D61" s="532"/>
      <c r="E61" s="532"/>
      <c r="F61" s="532"/>
      <c r="G61" s="532"/>
      <c r="H61" s="532"/>
      <c r="I61" s="532"/>
      <c r="J61" s="532"/>
      <c r="K61" s="532"/>
      <c r="L61" s="532"/>
      <c r="M61" s="532"/>
      <c r="N61" s="532"/>
      <c r="O61" s="532"/>
      <c r="P61" s="532"/>
      <c r="Q61" s="532"/>
    </row>
    <row r="62" spans="2:31" ht="25.15" customHeight="1">
      <c r="B62" s="180"/>
      <c r="C62" s="180"/>
      <c r="D62" s="180"/>
      <c r="E62" s="180"/>
      <c r="F62" s="180"/>
      <c r="G62" s="180"/>
      <c r="H62" s="180"/>
      <c r="I62" s="180"/>
      <c r="J62" s="180"/>
      <c r="K62" s="180"/>
      <c r="L62" s="180"/>
      <c r="M62" s="180"/>
      <c r="N62" s="180"/>
      <c r="O62" s="180"/>
      <c r="P62" s="180"/>
      <c r="Q62" s="211" t="s">
        <v>388</v>
      </c>
    </row>
    <row r="63" spans="2:31" ht="25.15" customHeight="1">
      <c r="B63" s="208" t="s">
        <v>64</v>
      </c>
      <c r="C63" s="209">
        <v>2010</v>
      </c>
      <c r="D63" s="209">
        <v>2011</v>
      </c>
      <c r="E63" s="209">
        <v>2012</v>
      </c>
      <c r="F63" s="209">
        <v>2013</v>
      </c>
      <c r="G63" s="209">
        <v>2014</v>
      </c>
      <c r="H63" s="209">
        <v>2015</v>
      </c>
      <c r="I63" s="209">
        <v>2016</v>
      </c>
      <c r="J63" s="49">
        <v>2017</v>
      </c>
      <c r="K63" s="49">
        <v>2018</v>
      </c>
      <c r="L63" s="49">
        <v>2019</v>
      </c>
      <c r="M63" s="49">
        <v>2020</v>
      </c>
      <c r="N63" s="49">
        <v>2021</v>
      </c>
      <c r="O63" s="49" t="s">
        <v>185</v>
      </c>
      <c r="P63" s="49" t="s">
        <v>186</v>
      </c>
      <c r="Q63" s="210" t="s">
        <v>65</v>
      </c>
    </row>
    <row r="64" spans="2:31" ht="25.15" customHeight="1">
      <c r="B64" s="44" t="s">
        <v>100</v>
      </c>
      <c r="C64" s="86">
        <v>151476.53860534518</v>
      </c>
      <c r="D64" s="86">
        <v>169551.73675488788</v>
      </c>
      <c r="E64" s="86">
        <v>156846.94409022285</v>
      </c>
      <c r="F64" s="86">
        <v>173884.17688676837</v>
      </c>
      <c r="G64" s="86">
        <v>192483.02436804777</v>
      </c>
      <c r="H64" s="86">
        <v>198073.89303203812</v>
      </c>
      <c r="I64" s="86">
        <v>199453.14790133145</v>
      </c>
      <c r="J64" s="86">
        <v>210608.56936492145</v>
      </c>
      <c r="K64" s="86">
        <v>215139.79339667808</v>
      </c>
      <c r="L64" s="86">
        <v>218523.5256068272</v>
      </c>
      <c r="M64" s="86">
        <v>214895.75018607578</v>
      </c>
      <c r="N64" s="86">
        <v>230323.52707196158</v>
      </c>
      <c r="O64" s="86">
        <v>275562.43884118181</v>
      </c>
      <c r="P64" s="86">
        <v>298360.87646439759</v>
      </c>
      <c r="Q64" s="32" t="s">
        <v>99</v>
      </c>
      <c r="R64" s="133"/>
      <c r="S64" s="133"/>
      <c r="T64" s="133"/>
      <c r="U64" s="133"/>
      <c r="V64" s="133"/>
      <c r="W64" s="133"/>
      <c r="X64" s="133"/>
      <c r="Y64" s="133"/>
      <c r="Z64" s="133"/>
      <c r="AA64" s="133"/>
      <c r="AB64" s="133"/>
      <c r="AC64" s="133"/>
      <c r="AD64" s="133"/>
      <c r="AE64" s="133"/>
    </row>
    <row r="65" spans="2:31" ht="25.15" customHeight="1">
      <c r="B65" s="202" t="s">
        <v>180</v>
      </c>
      <c r="C65" s="327">
        <v>122407.76271084917</v>
      </c>
      <c r="D65" s="327">
        <v>134648.84277061207</v>
      </c>
      <c r="E65" s="327">
        <v>120397.63163276883</v>
      </c>
      <c r="F65" s="327">
        <v>131033.0936934949</v>
      </c>
      <c r="G65" s="327">
        <v>148412.62335808089</v>
      </c>
      <c r="H65" s="327">
        <v>153562.79704837577</v>
      </c>
      <c r="I65" s="327">
        <v>154727.85991726289</v>
      </c>
      <c r="J65" s="327">
        <v>159662.6197393258</v>
      </c>
      <c r="K65" s="327">
        <v>161715.98865568114</v>
      </c>
      <c r="L65" s="327">
        <v>163818.99711301594</v>
      </c>
      <c r="M65" s="327">
        <v>161847.26826969208</v>
      </c>
      <c r="N65" s="327">
        <v>169662.19574265997</v>
      </c>
      <c r="O65" s="327">
        <v>211979.31291711758</v>
      </c>
      <c r="P65" s="327">
        <v>234509.98190716378</v>
      </c>
      <c r="Q65" s="326" t="s">
        <v>195</v>
      </c>
      <c r="R65" s="133"/>
      <c r="S65" s="133"/>
      <c r="T65" s="133"/>
      <c r="U65" s="133"/>
      <c r="V65" s="133"/>
      <c r="W65" s="133"/>
      <c r="X65" s="133"/>
      <c r="Y65" s="133"/>
      <c r="Z65" s="133"/>
      <c r="AA65" s="133"/>
      <c r="AB65" s="133"/>
      <c r="AC65" s="133"/>
      <c r="AD65" s="133"/>
      <c r="AE65" s="133"/>
    </row>
    <row r="66" spans="2:31" ht="25.15" customHeight="1">
      <c r="B66" s="202" t="s">
        <v>194</v>
      </c>
      <c r="C66" s="327">
        <v>29068.775894496015</v>
      </c>
      <c r="D66" s="327">
        <v>34902.893984275812</v>
      </c>
      <c r="E66" s="327">
        <v>36449.312457454056</v>
      </c>
      <c r="F66" s="327">
        <v>42851.083193273495</v>
      </c>
      <c r="G66" s="327">
        <v>44070.401009966918</v>
      </c>
      <c r="H66" s="327">
        <v>44511.095983662359</v>
      </c>
      <c r="I66" s="327">
        <v>44725.287984068535</v>
      </c>
      <c r="J66" s="327">
        <v>50945.949625595647</v>
      </c>
      <c r="K66" s="327">
        <v>53423.804740996944</v>
      </c>
      <c r="L66" s="327">
        <v>54704.52849381126</v>
      </c>
      <c r="M66" s="327">
        <v>53048.481916383666</v>
      </c>
      <c r="N66" s="327">
        <v>60661.331329301604</v>
      </c>
      <c r="O66" s="327">
        <v>63583.125924064225</v>
      </c>
      <c r="P66" s="327">
        <v>63850.894557233747</v>
      </c>
      <c r="Q66" s="326" t="s">
        <v>196</v>
      </c>
      <c r="R66" s="133"/>
      <c r="S66" s="133"/>
      <c r="T66" s="133"/>
      <c r="U66" s="133"/>
      <c r="V66" s="133"/>
      <c r="W66" s="133"/>
      <c r="X66" s="133"/>
      <c r="Y66" s="133"/>
      <c r="Z66" s="133"/>
      <c r="AA66" s="133"/>
      <c r="AB66" s="133"/>
      <c r="AC66" s="133"/>
      <c r="AD66" s="133"/>
      <c r="AE66" s="133"/>
    </row>
    <row r="67" spans="2:31" ht="25.15" customHeight="1">
      <c r="B67" s="44" t="s">
        <v>155</v>
      </c>
      <c r="C67" s="86">
        <v>88995.155341236066</v>
      </c>
      <c r="D67" s="86">
        <v>91386.108317453429</v>
      </c>
      <c r="E67" s="86">
        <v>91997.898788704988</v>
      </c>
      <c r="F67" s="86">
        <v>86599.294998335899</v>
      </c>
      <c r="G67" s="86">
        <v>94005.18786397377</v>
      </c>
      <c r="H67" s="86">
        <v>82671.283811994042</v>
      </c>
      <c r="I67" s="86">
        <v>79890.673909661768</v>
      </c>
      <c r="J67" s="86">
        <v>83107.690063424612</v>
      </c>
      <c r="K67" s="86">
        <v>93227.542088270347</v>
      </c>
      <c r="L67" s="86">
        <v>100607.10831282784</v>
      </c>
      <c r="M67" s="86">
        <v>81528.081096468974</v>
      </c>
      <c r="N67" s="86">
        <v>107228.30858423917</v>
      </c>
      <c r="O67" s="86">
        <v>133263.98240123273</v>
      </c>
      <c r="P67" s="86">
        <v>139219.61291661536</v>
      </c>
      <c r="Q67" s="147" t="s">
        <v>306</v>
      </c>
      <c r="R67" s="133"/>
      <c r="S67" s="133"/>
      <c r="T67" s="133"/>
      <c r="U67" s="133"/>
      <c r="V67" s="133"/>
      <c r="W67" s="133"/>
      <c r="X67" s="133"/>
      <c r="Y67" s="133"/>
      <c r="Z67" s="133"/>
      <c r="AA67" s="133"/>
      <c r="AB67" s="133"/>
      <c r="AC67" s="133"/>
      <c r="AD67" s="133"/>
      <c r="AE67" s="133"/>
    </row>
    <row r="68" spans="2:31" ht="25.15" customHeight="1">
      <c r="B68" s="44" t="s">
        <v>15</v>
      </c>
      <c r="C68" s="86">
        <v>238328.11436351261</v>
      </c>
      <c r="D68" s="86">
        <v>315867.93737236218</v>
      </c>
      <c r="E68" s="86">
        <v>375513.95507147722</v>
      </c>
      <c r="F68" s="86">
        <v>392244.52008168824</v>
      </c>
      <c r="G68" s="86">
        <v>402728.11436351261</v>
      </c>
      <c r="H68" s="86">
        <v>358529.6119809394</v>
      </c>
      <c r="I68" s="86">
        <v>360626.27637848881</v>
      </c>
      <c r="J68" s="86">
        <v>382137.50850918994</v>
      </c>
      <c r="K68" s="86">
        <v>400217.83526208304</v>
      </c>
      <c r="L68" s="86">
        <v>404863.17222600407</v>
      </c>
      <c r="M68" s="86">
        <v>350277.35874744726</v>
      </c>
      <c r="N68" s="86">
        <v>425155.88835942821</v>
      </c>
      <c r="O68" s="86">
        <v>521897.34513274342</v>
      </c>
      <c r="P68" s="86">
        <v>558401.54299977305</v>
      </c>
      <c r="Q68" s="32" t="s">
        <v>101</v>
      </c>
      <c r="R68" s="133"/>
      <c r="S68" s="133"/>
      <c r="T68" s="133"/>
      <c r="U68" s="133"/>
      <c r="V68" s="133"/>
      <c r="W68" s="133"/>
      <c r="X68" s="133"/>
      <c r="Y68" s="133"/>
      <c r="Z68" s="133"/>
      <c r="AA68" s="133"/>
      <c r="AB68" s="133"/>
      <c r="AC68" s="133"/>
      <c r="AD68" s="133"/>
      <c r="AE68" s="133"/>
    </row>
    <row r="69" spans="2:31" ht="25.15" customHeight="1">
      <c r="B69" s="202" t="s">
        <v>108</v>
      </c>
      <c r="C69" s="327">
        <v>226592.2396187883</v>
      </c>
      <c r="D69" s="327">
        <v>303070.11572498298</v>
      </c>
      <c r="E69" s="327">
        <v>360445.20081688225</v>
      </c>
      <c r="F69" s="327">
        <v>371005.5820285909</v>
      </c>
      <c r="G69" s="327">
        <v>378902.38257317903</v>
      </c>
      <c r="H69" s="327">
        <v>297753.57385976857</v>
      </c>
      <c r="I69" s="327">
        <v>295030.63308373041</v>
      </c>
      <c r="J69" s="327">
        <v>311640.57181756297</v>
      </c>
      <c r="K69" s="327">
        <v>328386.6575901974</v>
      </c>
      <c r="L69" s="327">
        <v>314597.68550034036</v>
      </c>
      <c r="M69" s="327">
        <v>272156.18788291357</v>
      </c>
      <c r="N69" s="327">
        <v>323317.90333560249</v>
      </c>
      <c r="O69" s="327">
        <v>367506.60313138197</v>
      </c>
      <c r="P69" s="327">
        <v>396359.33741774451</v>
      </c>
      <c r="Q69" s="326" t="s">
        <v>199</v>
      </c>
      <c r="R69" s="133"/>
      <c r="S69" s="133"/>
      <c r="T69" s="133"/>
      <c r="U69" s="133"/>
      <c r="V69" s="133"/>
      <c r="W69" s="133"/>
      <c r="X69" s="133"/>
      <c r="Y69" s="133"/>
      <c r="Z69" s="133"/>
      <c r="AA69" s="133"/>
      <c r="AB69" s="133"/>
      <c r="AC69" s="133"/>
      <c r="AD69" s="133"/>
      <c r="AE69" s="133"/>
    </row>
    <row r="70" spans="2:31" ht="25.15" customHeight="1">
      <c r="B70" s="202" t="s">
        <v>107</v>
      </c>
      <c r="C70" s="327">
        <v>11735.874744724302</v>
      </c>
      <c r="D70" s="327">
        <v>12797.821647379171</v>
      </c>
      <c r="E70" s="327">
        <v>15068.754254594964</v>
      </c>
      <c r="F70" s="327">
        <v>21238.938053097347</v>
      </c>
      <c r="G70" s="327">
        <v>23825.731790333561</v>
      </c>
      <c r="H70" s="327">
        <v>60776.038121170866</v>
      </c>
      <c r="I70" s="327">
        <v>65595.643294758338</v>
      </c>
      <c r="J70" s="327">
        <v>70496.936691626965</v>
      </c>
      <c r="K70" s="327">
        <v>71831.177671885642</v>
      </c>
      <c r="L70" s="327">
        <v>90265.486725663723</v>
      </c>
      <c r="M70" s="327">
        <v>78121.170864533706</v>
      </c>
      <c r="N70" s="327">
        <v>101837.98502382573</v>
      </c>
      <c r="O70" s="327">
        <v>154390.74200136148</v>
      </c>
      <c r="P70" s="327">
        <v>162042.20558202858</v>
      </c>
      <c r="Q70" s="326" t="s">
        <v>200</v>
      </c>
      <c r="R70" s="133"/>
      <c r="S70" s="133"/>
      <c r="T70" s="133"/>
      <c r="U70" s="133"/>
      <c r="V70" s="133"/>
      <c r="W70" s="133"/>
      <c r="X70" s="133"/>
      <c r="Y70" s="133"/>
      <c r="Z70" s="133"/>
      <c r="AA70" s="133"/>
      <c r="AB70" s="133"/>
      <c r="AC70" s="133"/>
      <c r="AD70" s="133"/>
      <c r="AE70" s="133"/>
    </row>
    <row r="71" spans="2:31" ht="25.15" customHeight="1">
      <c r="B71" s="44" t="s">
        <v>41</v>
      </c>
      <c r="C71" s="86">
        <v>178610.75561606535</v>
      </c>
      <c r="D71" s="86">
        <v>215973.04288631724</v>
      </c>
      <c r="E71" s="86">
        <v>239748.67256637168</v>
      </c>
      <c r="F71" s="86">
        <v>252509.46221919675</v>
      </c>
      <c r="G71" s="86">
        <v>275110.95983662357</v>
      </c>
      <c r="H71" s="86">
        <v>268999.31926480599</v>
      </c>
      <c r="I71" s="86">
        <v>270714.77195371001</v>
      </c>
      <c r="J71" s="86">
        <v>285336.96392103471</v>
      </c>
      <c r="K71" s="86">
        <v>281535.73859768553</v>
      </c>
      <c r="L71" s="86">
        <v>306004.08441116405</v>
      </c>
      <c r="M71" s="86">
        <v>297228.17469305219</v>
      </c>
      <c r="N71" s="86">
        <v>347528.93124574539</v>
      </c>
      <c r="O71" s="86">
        <v>427991.83117767191</v>
      </c>
      <c r="P71" s="86">
        <v>481851.59972770594</v>
      </c>
      <c r="Q71" s="32" t="s">
        <v>42</v>
      </c>
      <c r="R71" s="133"/>
      <c r="S71" s="133"/>
      <c r="T71" s="133"/>
      <c r="U71" s="133"/>
      <c r="V71" s="133"/>
      <c r="W71" s="133"/>
      <c r="X71" s="133"/>
      <c r="Y71" s="133"/>
      <c r="Z71" s="133"/>
      <c r="AA71" s="133"/>
      <c r="AB71" s="133"/>
      <c r="AC71" s="133"/>
      <c r="AD71" s="133"/>
      <c r="AE71" s="133"/>
    </row>
    <row r="72" spans="2:31" ht="25.15" customHeight="1">
      <c r="B72" s="204" t="s">
        <v>197</v>
      </c>
      <c r="C72" s="327">
        <v>136511.09598366235</v>
      </c>
      <c r="D72" s="327">
        <v>159400.13614703881</v>
      </c>
      <c r="E72" s="327">
        <v>176600.95302927162</v>
      </c>
      <c r="F72" s="327">
        <v>190317.49489448604</v>
      </c>
      <c r="G72" s="327">
        <v>210250.51055139551</v>
      </c>
      <c r="H72" s="327">
        <v>187120.49012933968</v>
      </c>
      <c r="I72" s="327">
        <v>186875.42545949627</v>
      </c>
      <c r="J72" s="327">
        <v>213533.01565690947</v>
      </c>
      <c r="K72" s="327">
        <v>209214.431586113</v>
      </c>
      <c r="L72" s="327">
        <v>217808.03267528932</v>
      </c>
      <c r="M72" s="327">
        <v>235362.9602614661</v>
      </c>
      <c r="N72" s="327">
        <v>271422.73655547993</v>
      </c>
      <c r="O72" s="327">
        <v>331082.36895847518</v>
      </c>
      <c r="P72" s="327">
        <v>376664.39754935331</v>
      </c>
      <c r="Q72" s="206" t="s">
        <v>201</v>
      </c>
      <c r="R72" s="133"/>
      <c r="S72" s="133"/>
      <c r="T72" s="133"/>
      <c r="U72" s="133"/>
      <c r="V72" s="133"/>
      <c r="W72" s="133"/>
      <c r="X72" s="133"/>
      <c r="Y72" s="133"/>
      <c r="Z72" s="133"/>
      <c r="AA72" s="133"/>
      <c r="AB72" s="133"/>
      <c r="AC72" s="133"/>
      <c r="AD72" s="133"/>
      <c r="AE72" s="133"/>
    </row>
    <row r="73" spans="2:31" ht="25.15" customHeight="1">
      <c r="B73" s="205" t="s">
        <v>198</v>
      </c>
      <c r="C73" s="327">
        <v>42099.659632402996</v>
      </c>
      <c r="D73" s="327">
        <v>56572.90673927842</v>
      </c>
      <c r="E73" s="327">
        <v>63147.719537100071</v>
      </c>
      <c r="F73" s="327">
        <v>62191.967324710691</v>
      </c>
      <c r="G73" s="327">
        <v>64860.449285228045</v>
      </c>
      <c r="H73" s="327">
        <v>81878.829135466309</v>
      </c>
      <c r="I73" s="327">
        <v>83839.346494213751</v>
      </c>
      <c r="J73" s="327">
        <v>71803.948264125254</v>
      </c>
      <c r="K73" s="327">
        <v>72321.307011572499</v>
      </c>
      <c r="L73" s="327">
        <v>88196.051735874746</v>
      </c>
      <c r="M73" s="327">
        <v>61865.214431586115</v>
      </c>
      <c r="N73" s="327">
        <v>76106.194690265489</v>
      </c>
      <c r="O73" s="327">
        <v>96909.462219196736</v>
      </c>
      <c r="P73" s="327">
        <v>105187.20217835263</v>
      </c>
      <c r="Q73" s="207" t="s">
        <v>202</v>
      </c>
      <c r="R73" s="133"/>
      <c r="S73" s="133"/>
      <c r="T73" s="133"/>
      <c r="U73" s="133"/>
      <c r="V73" s="133"/>
      <c r="W73" s="133"/>
      <c r="X73" s="133"/>
      <c r="Y73" s="133"/>
      <c r="Z73" s="133"/>
      <c r="AA73" s="133"/>
      <c r="AB73" s="133"/>
      <c r="AC73" s="133"/>
      <c r="AD73" s="133"/>
      <c r="AE73" s="133"/>
    </row>
    <row r="74" spans="2:31" ht="25.15" customHeight="1" thickBot="1">
      <c r="B74" s="142" t="s">
        <v>16</v>
      </c>
      <c r="C74" s="143">
        <v>300189.05269402848</v>
      </c>
      <c r="D74" s="143">
        <v>360832.73955838627</v>
      </c>
      <c r="E74" s="143">
        <v>384610.12538403342</v>
      </c>
      <c r="F74" s="143">
        <v>400218.52974759578</v>
      </c>
      <c r="G74" s="143">
        <v>414105.36675891065</v>
      </c>
      <c r="H74" s="143">
        <v>370275.4695601656</v>
      </c>
      <c r="I74" s="143">
        <v>369255.32623577199</v>
      </c>
      <c r="J74" s="143">
        <v>390516.80401650124</v>
      </c>
      <c r="K74" s="143">
        <v>427049.43214934599</v>
      </c>
      <c r="L74" s="143">
        <v>417989.72173449508</v>
      </c>
      <c r="M74" s="143">
        <v>349473.01533693983</v>
      </c>
      <c r="N74" s="143">
        <v>415178.79276988358</v>
      </c>
      <c r="O74" s="143">
        <v>502731.93519748608</v>
      </c>
      <c r="P74" s="143">
        <v>514130.43265307997</v>
      </c>
      <c r="Q74" s="144" t="s">
        <v>20</v>
      </c>
      <c r="R74" s="133"/>
      <c r="S74" s="133"/>
      <c r="T74" s="133"/>
      <c r="U74" s="133"/>
      <c r="V74" s="133"/>
      <c r="W74" s="133"/>
      <c r="X74" s="133"/>
      <c r="Y74" s="133"/>
      <c r="Z74" s="133"/>
      <c r="AA74" s="133"/>
      <c r="AB74" s="133"/>
      <c r="AC74" s="133"/>
      <c r="AD74" s="133"/>
      <c r="AE74" s="133"/>
    </row>
    <row r="75" spans="2:31" ht="24.95" customHeight="1">
      <c r="B75" s="534" t="s">
        <v>326</v>
      </c>
      <c r="C75" s="534"/>
      <c r="D75" s="31"/>
      <c r="E75" s="31"/>
      <c r="F75" s="31"/>
      <c r="G75" s="31"/>
      <c r="H75" s="31"/>
      <c r="I75" s="31"/>
      <c r="J75" s="31"/>
      <c r="K75" s="31"/>
      <c r="L75" s="31"/>
      <c r="M75" s="31"/>
      <c r="N75" s="31"/>
      <c r="O75" s="31"/>
      <c r="P75" s="31"/>
      <c r="Q75" s="313" t="s">
        <v>327</v>
      </c>
      <c r="S75" s="133"/>
      <c r="T75" s="133"/>
      <c r="U75" s="133"/>
      <c r="V75" s="133"/>
      <c r="W75" s="133"/>
      <c r="X75" s="133"/>
      <c r="Y75" s="133"/>
      <c r="Z75" s="133"/>
      <c r="AA75" s="133"/>
      <c r="AB75" s="133"/>
    </row>
    <row r="76" spans="2:31" ht="24.95" customHeight="1">
      <c r="B76" s="535" t="s">
        <v>399</v>
      </c>
      <c r="C76" s="535"/>
      <c r="D76" s="11"/>
      <c r="E76" s="11"/>
      <c r="F76" s="12"/>
      <c r="G76" s="12"/>
      <c r="N76" s="177"/>
      <c r="O76" s="177"/>
      <c r="P76" s="177"/>
      <c r="Q76" s="313" t="s">
        <v>193</v>
      </c>
    </row>
    <row r="77" spans="2:31" ht="24.95" customHeight="1">
      <c r="B77" s="81" t="s">
        <v>192</v>
      </c>
      <c r="C77" s="81"/>
      <c r="D77" s="78"/>
      <c r="E77" s="78"/>
      <c r="F77" s="79"/>
      <c r="G77" s="80"/>
      <c r="H77" s="8"/>
      <c r="I77" s="8"/>
      <c r="J77" s="8"/>
      <c r="K77" s="100"/>
      <c r="L77" s="100"/>
      <c r="M77" s="100"/>
      <c r="N77" s="100"/>
      <c r="O77" s="100"/>
      <c r="P77" s="100"/>
      <c r="Q77" s="81" t="s">
        <v>551</v>
      </c>
    </row>
  </sheetData>
  <mergeCells count="16">
    <mergeCell ref="B75:C75"/>
    <mergeCell ref="B76:C76"/>
    <mergeCell ref="B55:F55"/>
    <mergeCell ref="B60:Q60"/>
    <mergeCell ref="B61:Q61"/>
    <mergeCell ref="B56:C56"/>
    <mergeCell ref="B57:C57"/>
    <mergeCell ref="B41:Q41"/>
    <mergeCell ref="B40:Q40"/>
    <mergeCell ref="B1:Q1"/>
    <mergeCell ref="B21:Q21"/>
    <mergeCell ref="B22:Q22"/>
    <mergeCell ref="B2:Q2"/>
    <mergeCell ref="B3:Q3"/>
    <mergeCell ref="B36:C36"/>
    <mergeCell ref="B37:C37"/>
  </mergeCells>
  <phoneticPr fontId="5" type="noConversion"/>
  <conditionalFormatting sqref="R25:AE35">
    <cfRule type="containsText" dxfId="25" priority="3" operator="containsText" text="true">
      <formula>NOT(ISERROR(SEARCH("true",R25)))</formula>
    </cfRule>
  </conditionalFormatting>
  <conditionalFormatting sqref="R44:AD54">
    <cfRule type="containsText" dxfId="24" priority="2" operator="containsText" text="true">
      <formula>NOT(ISERROR(SEARCH("true",R44)))</formula>
    </cfRule>
  </conditionalFormatting>
  <conditionalFormatting sqref="R64:AE74">
    <cfRule type="containsText" dxfId="23" priority="1" operator="containsText" text="true">
      <formula>NOT(ISERROR(SEARCH("true",R64)))</formula>
    </cfRule>
  </conditionalFormatting>
  <printOptions horizontalCentered="1" verticalCentered="1"/>
  <pageMargins left="0" right="0" top="0" bottom="0" header="0" footer="0"/>
  <pageSetup scale="29" fitToHeight="0" orientation="landscape" horizontalDpi="300" verticalDpi="300" r:id="rId1"/>
  <headerFooter alignWithMargins="0"/>
  <colBreaks count="1" manualBreakCount="1">
    <brk id="27" max="78"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D2AA-D53F-48D5-B05E-3A0B07E64CE4}">
  <dimension ref="B1:AE62"/>
  <sheetViews>
    <sheetView showGridLines="0" rightToLeft="1" zoomScaleNormal="100" zoomScaleSheetLayoutView="80" workbookViewId="0"/>
  </sheetViews>
  <sheetFormatPr defaultColWidth="9.28515625" defaultRowHeight="25.15" customHeight="1"/>
  <cols>
    <col min="1" max="1" width="15.7109375" style="2" customWidth="1"/>
    <col min="2" max="2" width="28.5703125" style="2" customWidth="1"/>
    <col min="3" max="11" width="10.7109375" style="22" customWidth="1"/>
    <col min="12" max="16" width="9.7109375" style="22" customWidth="1"/>
    <col min="17" max="17" width="28.5703125" style="22" customWidth="1"/>
    <col min="18" max="18" width="11.42578125" style="2" bestFit="1" customWidth="1"/>
    <col min="19" max="27" width="9.28515625" style="2"/>
    <col min="28" max="28" width="10.42578125" style="2" bestFit="1" customWidth="1"/>
    <col min="29" max="16384" width="9.28515625" style="2"/>
  </cols>
  <sheetData>
    <row r="1" spans="2:28" ht="50.1" customHeight="1">
      <c r="B1" s="533"/>
      <c r="C1" s="533"/>
      <c r="D1" s="533"/>
      <c r="E1" s="533"/>
      <c r="F1" s="533"/>
      <c r="G1" s="533"/>
      <c r="H1" s="533"/>
      <c r="I1" s="533"/>
      <c r="J1" s="533"/>
      <c r="K1" s="533"/>
      <c r="L1" s="533"/>
      <c r="M1" s="533"/>
      <c r="N1" s="533"/>
      <c r="O1" s="533"/>
      <c r="P1" s="533"/>
      <c r="Q1" s="533"/>
    </row>
    <row r="2" spans="2:28" ht="25.15" customHeight="1">
      <c r="B2" s="531" t="s">
        <v>395</v>
      </c>
      <c r="C2" s="531"/>
      <c r="D2" s="531"/>
      <c r="E2" s="531"/>
      <c r="F2" s="531"/>
      <c r="G2" s="531"/>
      <c r="H2" s="531"/>
      <c r="I2" s="531"/>
      <c r="J2" s="531"/>
      <c r="K2" s="531"/>
      <c r="L2" s="531"/>
      <c r="M2" s="531"/>
      <c r="N2" s="531"/>
      <c r="O2" s="531"/>
      <c r="P2" s="531"/>
      <c r="Q2" s="531"/>
    </row>
    <row r="3" spans="2:28" ht="25.15" customHeight="1">
      <c r="B3" s="532" t="s">
        <v>396</v>
      </c>
      <c r="C3" s="532"/>
      <c r="D3" s="532"/>
      <c r="E3" s="532"/>
      <c r="F3" s="532"/>
      <c r="G3" s="532"/>
      <c r="H3" s="532"/>
      <c r="I3" s="532"/>
      <c r="J3" s="532"/>
      <c r="K3" s="532"/>
      <c r="L3" s="532"/>
      <c r="M3" s="532"/>
      <c r="N3" s="532"/>
      <c r="O3" s="532"/>
      <c r="P3" s="532"/>
      <c r="Q3" s="532"/>
    </row>
    <row r="4" spans="2:28" ht="25.15" customHeight="1">
      <c r="B4" s="180"/>
      <c r="C4" s="180"/>
      <c r="D4" s="180"/>
      <c r="E4" s="180"/>
      <c r="F4" s="180"/>
      <c r="G4" s="180"/>
      <c r="H4" s="180"/>
      <c r="I4" s="180"/>
      <c r="J4" s="180"/>
      <c r="K4" s="180"/>
      <c r="L4" s="180"/>
      <c r="M4" s="180"/>
      <c r="N4" s="180"/>
      <c r="O4" s="180"/>
      <c r="P4" s="180"/>
      <c r="Q4" s="64" t="s">
        <v>369</v>
      </c>
    </row>
    <row r="5" spans="2:28" ht="25.15" customHeight="1">
      <c r="B5" s="208" t="s">
        <v>64</v>
      </c>
      <c r="C5" s="209">
        <v>2010</v>
      </c>
      <c r="D5" s="209">
        <v>2011</v>
      </c>
      <c r="E5" s="209">
        <v>2012</v>
      </c>
      <c r="F5" s="209">
        <v>2013</v>
      </c>
      <c r="G5" s="209">
        <v>2014</v>
      </c>
      <c r="H5" s="209">
        <v>2015</v>
      </c>
      <c r="I5" s="209">
        <v>2016</v>
      </c>
      <c r="J5" s="49">
        <v>2017</v>
      </c>
      <c r="K5" s="49">
        <v>2018</v>
      </c>
      <c r="L5" s="49">
        <v>2019</v>
      </c>
      <c r="M5" s="49">
        <v>2020</v>
      </c>
      <c r="N5" s="49">
        <v>2021</v>
      </c>
      <c r="O5" s="49" t="s">
        <v>185</v>
      </c>
      <c r="P5" s="49" t="s">
        <v>186</v>
      </c>
      <c r="Q5" s="210" t="s">
        <v>65</v>
      </c>
    </row>
    <row r="6" spans="2:28" ht="25.15" customHeight="1">
      <c r="B6" s="44" t="s">
        <v>403</v>
      </c>
      <c r="C6" s="86">
        <v>556297.58802813012</v>
      </c>
      <c r="D6" s="86">
        <v>618851.83078518009</v>
      </c>
      <c r="E6" s="86">
        <v>562260.19983510673</v>
      </c>
      <c r="F6" s="86">
        <v>618649.73240035085</v>
      </c>
      <c r="G6" s="86">
        <v>680501.65710634633</v>
      </c>
      <c r="H6" s="86">
        <v>691879.67845468363</v>
      </c>
      <c r="I6" s="86">
        <v>711580.03417605453</v>
      </c>
      <c r="J6" s="86">
        <v>758529.1289328367</v>
      </c>
      <c r="K6" s="86">
        <v>766577.43697252835</v>
      </c>
      <c r="L6" s="86">
        <v>818330.26934939669</v>
      </c>
      <c r="M6" s="86">
        <v>805959.89221382735</v>
      </c>
      <c r="N6" s="86">
        <v>844343.52286840032</v>
      </c>
      <c r="O6" s="86">
        <v>965424.92797444074</v>
      </c>
      <c r="P6" s="86">
        <v>1078191.2908201269</v>
      </c>
      <c r="Q6" s="32" t="s">
        <v>99</v>
      </c>
      <c r="R6" s="133"/>
      <c r="S6" s="133"/>
      <c r="T6" s="133"/>
      <c r="U6" s="133"/>
      <c r="V6" s="133"/>
      <c r="W6" s="133"/>
      <c r="X6" s="133"/>
      <c r="Y6" s="133"/>
      <c r="Z6" s="133"/>
      <c r="AA6" s="133"/>
      <c r="AB6" s="133"/>
    </row>
    <row r="7" spans="2:28" ht="25.15" customHeight="1">
      <c r="B7" s="202" t="s">
        <v>180</v>
      </c>
      <c r="C7" s="251">
        <v>449542.50855559355</v>
      </c>
      <c r="D7" s="251">
        <v>499018.82710031257</v>
      </c>
      <c r="E7" s="251">
        <v>439242.50657181453</v>
      </c>
      <c r="F7" s="251">
        <v>475985.6518872194</v>
      </c>
      <c r="G7" s="251">
        <v>532552.58955109632</v>
      </c>
      <c r="H7" s="251">
        <v>541909.95368404151</v>
      </c>
      <c r="I7" s="251">
        <v>559191.0429383486</v>
      </c>
      <c r="J7" s="251">
        <v>575041.88096050557</v>
      </c>
      <c r="K7" s="251">
        <v>576219.89007201802</v>
      </c>
      <c r="L7" s="251">
        <v>613471.90724555135</v>
      </c>
      <c r="M7" s="251">
        <v>607003.19469693932</v>
      </c>
      <c r="N7" s="251">
        <v>621965.01535072469</v>
      </c>
      <c r="O7" s="251">
        <v>742663.3098679611</v>
      </c>
      <c r="P7" s="251">
        <v>847452.33054328058</v>
      </c>
      <c r="Q7" s="326" t="s">
        <v>195</v>
      </c>
    </row>
    <row r="8" spans="2:28" ht="25.15" customHeight="1">
      <c r="B8" s="202" t="s">
        <v>194</v>
      </c>
      <c r="C8" s="251">
        <v>106755.07947253661</v>
      </c>
      <c r="D8" s="251">
        <v>119833.00368486757</v>
      </c>
      <c r="E8" s="251">
        <v>123017.6932632922</v>
      </c>
      <c r="F8" s="251">
        <v>142664.08051313146</v>
      </c>
      <c r="G8" s="251">
        <v>147949.06755524999</v>
      </c>
      <c r="H8" s="251">
        <v>149969.72477064218</v>
      </c>
      <c r="I8" s="251">
        <v>152388.99123770595</v>
      </c>
      <c r="J8" s="251">
        <v>183487.24797233113</v>
      </c>
      <c r="K8" s="251">
        <v>190357.54690051029</v>
      </c>
      <c r="L8" s="251">
        <v>204858.36210384528</v>
      </c>
      <c r="M8" s="251">
        <v>198956.69751688803</v>
      </c>
      <c r="N8" s="251">
        <v>222378.50751767567</v>
      </c>
      <c r="O8" s="251">
        <v>222761.61810647967</v>
      </c>
      <c r="P8" s="251">
        <v>230738.96027684631</v>
      </c>
      <c r="Q8" s="326" t="s">
        <v>196</v>
      </c>
    </row>
    <row r="9" spans="2:28" ht="25.15" customHeight="1">
      <c r="B9" s="44" t="s">
        <v>155</v>
      </c>
      <c r="C9" s="86">
        <v>326834.70799068944</v>
      </c>
      <c r="D9" s="86">
        <v>316868.05846665817</v>
      </c>
      <c r="E9" s="86">
        <v>302539.25476503803</v>
      </c>
      <c r="F9" s="86">
        <v>291481.29607335874</v>
      </c>
      <c r="G9" s="86">
        <v>318205.07796273706</v>
      </c>
      <c r="H9" s="86">
        <v>304128.64428775385</v>
      </c>
      <c r="I9" s="86">
        <v>304172.67165949818</v>
      </c>
      <c r="J9" s="86">
        <v>305146.35155059909</v>
      </c>
      <c r="K9" s="86">
        <v>302719.2191863574</v>
      </c>
      <c r="L9" s="86">
        <v>313849.03939240635</v>
      </c>
      <c r="M9" s="86">
        <v>249894.41921671879</v>
      </c>
      <c r="N9" s="86">
        <v>302858.86857154168</v>
      </c>
      <c r="O9" s="86">
        <v>474519.97846212448</v>
      </c>
      <c r="P9" s="86">
        <v>494548.20826133603</v>
      </c>
      <c r="Q9" s="147" t="s">
        <v>306</v>
      </c>
      <c r="R9" s="133"/>
      <c r="S9" s="133"/>
      <c r="T9" s="133"/>
      <c r="U9" s="133"/>
      <c r="V9" s="133"/>
      <c r="W9" s="133"/>
      <c r="X9" s="133"/>
      <c r="Y9" s="133"/>
      <c r="Z9" s="133"/>
      <c r="AA9" s="133"/>
      <c r="AB9" s="133"/>
    </row>
    <row r="10" spans="2:28" ht="25.15" customHeight="1">
      <c r="B10" s="44" t="s">
        <v>15</v>
      </c>
      <c r="C10" s="86">
        <v>875260</v>
      </c>
      <c r="D10" s="86">
        <v>1015881.23418285</v>
      </c>
      <c r="E10" s="86">
        <v>1175020.7642339501</v>
      </c>
      <c r="F10" s="86">
        <v>1257988.8623457304</v>
      </c>
      <c r="G10" s="86">
        <v>1309905.7674128497</v>
      </c>
      <c r="H10" s="86">
        <v>1345606.8210521899</v>
      </c>
      <c r="I10" s="86">
        <v>1415766.2987468899</v>
      </c>
      <c r="J10" s="86">
        <v>1411248.350962895</v>
      </c>
      <c r="K10" s="86">
        <v>1434981.4783030606</v>
      </c>
      <c r="L10" s="86">
        <v>1445768.3637330451</v>
      </c>
      <c r="M10" s="86">
        <v>1501413.6871062934</v>
      </c>
      <c r="N10" s="86">
        <v>1562692.5798804744</v>
      </c>
      <c r="O10" s="86">
        <v>1694889.6987582818</v>
      </c>
      <c r="P10" s="86">
        <v>1811494.0008638771</v>
      </c>
      <c r="Q10" s="32" t="s">
        <v>101</v>
      </c>
    </row>
    <row r="11" spans="2:28" ht="25.15" customHeight="1">
      <c r="B11" s="44" t="s">
        <v>41</v>
      </c>
      <c r="C11" s="86">
        <v>655948</v>
      </c>
      <c r="D11" s="86">
        <v>780627.54705077084</v>
      </c>
      <c r="E11" s="86">
        <v>847482.45450827328</v>
      </c>
      <c r="F11" s="86">
        <v>915502.77953785681</v>
      </c>
      <c r="G11" s="86">
        <v>1003815.22237716</v>
      </c>
      <c r="H11" s="86">
        <v>948264.23575187929</v>
      </c>
      <c r="I11" s="86">
        <v>960677.01460462995</v>
      </c>
      <c r="J11" s="86">
        <v>993270.14218009484</v>
      </c>
      <c r="K11" s="86">
        <v>1003156.7916979969</v>
      </c>
      <c r="L11" s="86">
        <v>1060188.6792452829</v>
      </c>
      <c r="M11" s="86">
        <v>1114745.1144617696</v>
      </c>
      <c r="N11" s="86">
        <v>1204553.7455087246</v>
      </c>
      <c r="O11" s="86">
        <v>1516446.8140236177</v>
      </c>
      <c r="P11" s="86">
        <v>1707281.004005722</v>
      </c>
      <c r="Q11" s="32" t="s">
        <v>42</v>
      </c>
    </row>
    <row r="12" spans="2:28" ht="25.15" customHeight="1" thickBot="1">
      <c r="B12" s="142" t="s">
        <v>16</v>
      </c>
      <c r="C12" s="143">
        <v>1102444.2960188196</v>
      </c>
      <c r="D12" s="143">
        <v>1170973.5763839174</v>
      </c>
      <c r="E12" s="143">
        <v>1192337.7643258213</v>
      </c>
      <c r="F12" s="143">
        <v>1252617.1112815833</v>
      </c>
      <c r="G12" s="143">
        <v>1304797.2801047731</v>
      </c>
      <c r="H12" s="143">
        <v>1393350.908042748</v>
      </c>
      <c r="I12" s="143">
        <v>1470841.9899778124</v>
      </c>
      <c r="J12" s="143">
        <v>1481653.689266236</v>
      </c>
      <c r="K12" s="143">
        <v>1501121.3427639494</v>
      </c>
      <c r="L12" s="143">
        <v>1517758.9932295652</v>
      </c>
      <c r="M12" s="143">
        <v>1442522.88407507</v>
      </c>
      <c r="N12" s="143">
        <v>1505341.2258116917</v>
      </c>
      <c r="O12" s="143">
        <v>1618387.7911712294</v>
      </c>
      <c r="P12" s="143">
        <v>1676952.4959396177</v>
      </c>
      <c r="Q12" s="144" t="s">
        <v>20</v>
      </c>
      <c r="R12" s="133"/>
      <c r="S12" s="133"/>
      <c r="T12" s="133"/>
      <c r="U12" s="133"/>
      <c r="V12" s="133"/>
      <c r="W12" s="133"/>
      <c r="X12" s="133"/>
      <c r="Y12" s="133"/>
      <c r="Z12" s="133"/>
      <c r="AA12" s="133"/>
      <c r="AB12" s="133"/>
    </row>
    <row r="13" spans="2:28" ht="24.95" customHeight="1">
      <c r="B13" s="482" t="s">
        <v>326</v>
      </c>
      <c r="C13" s="495"/>
      <c r="D13" s="495"/>
      <c r="E13" s="495"/>
      <c r="F13" s="495"/>
      <c r="G13" s="495"/>
      <c r="H13" s="495"/>
      <c r="I13" s="495"/>
      <c r="J13" s="495"/>
      <c r="K13" s="495"/>
      <c r="L13" s="495"/>
      <c r="M13" s="495"/>
      <c r="N13" s="495"/>
      <c r="O13" s="495"/>
      <c r="P13" s="495"/>
      <c r="Q13" s="313" t="s">
        <v>327</v>
      </c>
      <c r="R13" s="133"/>
      <c r="S13" s="133"/>
      <c r="T13" s="133"/>
      <c r="U13" s="133"/>
      <c r="V13" s="133"/>
      <c r="W13" s="133"/>
      <c r="X13" s="133"/>
      <c r="Y13" s="133"/>
      <c r="Z13" s="133"/>
      <c r="AA13" s="133"/>
      <c r="AB13" s="133"/>
    </row>
    <row r="14" spans="2:28" ht="24.95" customHeight="1">
      <c r="B14" s="343" t="s">
        <v>399</v>
      </c>
      <c r="C14" s="496"/>
      <c r="D14" s="496"/>
      <c r="E14" s="496"/>
      <c r="F14" s="496"/>
      <c r="G14" s="496"/>
      <c r="H14" s="496"/>
      <c r="I14" s="496"/>
      <c r="J14" s="496"/>
      <c r="K14" s="496"/>
      <c r="L14" s="496"/>
      <c r="M14" s="496"/>
      <c r="N14" s="496"/>
      <c r="O14" s="496"/>
      <c r="P14" s="496"/>
      <c r="Q14" s="313" t="s">
        <v>193</v>
      </c>
    </row>
    <row r="15" spans="2:28" ht="24.95" customHeight="1">
      <c r="B15" s="505" t="s">
        <v>192</v>
      </c>
      <c r="C15" s="496"/>
      <c r="D15" s="496"/>
      <c r="E15" s="496"/>
      <c r="F15" s="496"/>
      <c r="G15" s="496"/>
      <c r="H15" s="496"/>
      <c r="I15" s="496"/>
      <c r="J15" s="496"/>
      <c r="K15" s="496"/>
      <c r="L15" s="496"/>
      <c r="M15" s="496"/>
      <c r="N15" s="496"/>
      <c r="O15" s="496"/>
      <c r="P15" s="496"/>
      <c r="Q15" s="81" t="s">
        <v>551</v>
      </c>
    </row>
    <row r="16" spans="2:28" ht="24.95" customHeight="1">
      <c r="B16" s="16"/>
      <c r="C16" s="15"/>
      <c r="D16" s="15"/>
      <c r="E16" s="15"/>
      <c r="F16" s="15"/>
      <c r="G16" s="15"/>
      <c r="H16" s="15"/>
      <c r="I16" s="15"/>
      <c r="J16" s="15"/>
      <c r="K16" s="15"/>
      <c r="L16" s="15"/>
      <c r="M16" s="15"/>
      <c r="N16" s="15"/>
      <c r="O16" s="15"/>
      <c r="P16" s="15"/>
      <c r="Q16" s="15"/>
    </row>
    <row r="17" spans="2:31" ht="25.15" customHeight="1">
      <c r="B17" s="531" t="s">
        <v>397</v>
      </c>
      <c r="C17" s="531"/>
      <c r="D17" s="531"/>
      <c r="E17" s="531"/>
      <c r="F17" s="531"/>
      <c r="G17" s="531"/>
      <c r="H17" s="531"/>
      <c r="I17" s="531"/>
      <c r="J17" s="531"/>
      <c r="K17" s="531"/>
      <c r="L17" s="531"/>
      <c r="M17" s="531"/>
      <c r="N17" s="531"/>
      <c r="O17" s="531"/>
      <c r="P17" s="531"/>
      <c r="Q17" s="531"/>
    </row>
    <row r="18" spans="2:31" ht="25.15" customHeight="1">
      <c r="B18" s="532" t="s">
        <v>398</v>
      </c>
      <c r="C18" s="532"/>
      <c r="D18" s="532"/>
      <c r="E18" s="532"/>
      <c r="F18" s="532"/>
      <c r="G18" s="532"/>
      <c r="H18" s="532"/>
      <c r="I18" s="532"/>
      <c r="J18" s="532"/>
      <c r="K18" s="532"/>
      <c r="L18" s="532"/>
      <c r="M18" s="532"/>
      <c r="N18" s="532"/>
      <c r="O18" s="532"/>
      <c r="P18" s="532"/>
      <c r="Q18" s="532"/>
    </row>
    <row r="19" spans="2:31" ht="25.15" customHeight="1">
      <c r="B19" s="180"/>
      <c r="C19" s="180"/>
      <c r="D19" s="180"/>
      <c r="E19" s="180"/>
      <c r="F19" s="180"/>
      <c r="G19" s="180"/>
      <c r="H19" s="180"/>
      <c r="I19" s="180"/>
      <c r="J19" s="180"/>
      <c r="K19" s="180"/>
      <c r="L19" s="180"/>
      <c r="M19" s="180"/>
      <c r="N19" s="180"/>
      <c r="O19" s="180"/>
      <c r="P19" s="180"/>
      <c r="Q19" s="145" t="s">
        <v>203</v>
      </c>
    </row>
    <row r="20" spans="2:31" ht="25.15" customHeight="1">
      <c r="B20" s="208" t="s">
        <v>64</v>
      </c>
      <c r="C20" s="209">
        <v>2010</v>
      </c>
      <c r="D20" s="209">
        <v>2011</v>
      </c>
      <c r="E20" s="209">
        <v>2012</v>
      </c>
      <c r="F20" s="209">
        <v>2013</v>
      </c>
      <c r="G20" s="209">
        <v>2014</v>
      </c>
      <c r="H20" s="209">
        <v>2015</v>
      </c>
      <c r="I20" s="209">
        <v>2016</v>
      </c>
      <c r="J20" s="49">
        <v>2017</v>
      </c>
      <c r="K20" s="49">
        <v>2018</v>
      </c>
      <c r="L20" s="49">
        <v>2019</v>
      </c>
      <c r="M20" s="49">
        <v>2020</v>
      </c>
      <c r="N20" s="49">
        <v>2021</v>
      </c>
      <c r="O20" s="49" t="s">
        <v>185</v>
      </c>
      <c r="P20" s="49" t="s">
        <v>186</v>
      </c>
      <c r="Q20" s="210" t="s">
        <v>65</v>
      </c>
    </row>
    <row r="21" spans="2:31" ht="25.15" customHeight="1">
      <c r="B21" s="44" t="s">
        <v>100</v>
      </c>
      <c r="C21" s="428">
        <v>50.460380632114379</v>
      </c>
      <c r="D21" s="428">
        <v>52.849342057423364</v>
      </c>
      <c r="E21" s="428">
        <v>47.156117725837795</v>
      </c>
      <c r="F21" s="428">
        <v>49.388574276092648</v>
      </c>
      <c r="G21" s="428">
        <v>52.153822473610859</v>
      </c>
      <c r="H21" s="428">
        <v>49.655809922754699</v>
      </c>
      <c r="I21" s="428">
        <v>48.379094357157207</v>
      </c>
      <c r="J21" s="428">
        <v>51.194765310407007</v>
      </c>
      <c r="K21" s="428">
        <v>51.066986734134545</v>
      </c>
      <c r="L21" s="428">
        <v>53.917010078662862</v>
      </c>
      <c r="M21" s="428">
        <v>55.871549845852186</v>
      </c>
      <c r="N21" s="428">
        <v>56.089842514817448</v>
      </c>
      <c r="O21" s="428">
        <v>59.653497958963307</v>
      </c>
      <c r="P21" s="428">
        <v>64.294682969895504</v>
      </c>
      <c r="Q21" s="32" t="s">
        <v>99</v>
      </c>
      <c r="R21" s="133"/>
      <c r="S21" s="133"/>
      <c r="T21" s="133"/>
      <c r="U21" s="133"/>
      <c r="V21" s="133"/>
      <c r="W21" s="133"/>
      <c r="X21" s="133"/>
      <c r="Y21" s="133"/>
      <c r="Z21" s="133"/>
      <c r="AA21" s="133"/>
      <c r="AB21" s="133"/>
      <c r="AC21" s="133"/>
      <c r="AD21" s="133"/>
      <c r="AE21" s="133"/>
    </row>
    <row r="22" spans="2:31" ht="25.15" customHeight="1">
      <c r="B22" s="202" t="s">
        <v>180</v>
      </c>
      <c r="C22" s="429">
        <v>40.776890966645226</v>
      </c>
      <c r="D22" s="429">
        <v>42.61572055633674</v>
      </c>
      <c r="E22" s="429">
        <v>36.838764963564969</v>
      </c>
      <c r="F22" s="429">
        <v>37.999293447319012</v>
      </c>
      <c r="G22" s="429">
        <v>40.814967786285791</v>
      </c>
      <c r="H22" s="429">
        <v>38.892568308242396</v>
      </c>
      <c r="I22" s="429">
        <v>38.018430718501854</v>
      </c>
      <c r="J22" s="429">
        <v>38.810815585744962</v>
      </c>
      <c r="K22" s="429">
        <v>38.385963456561704</v>
      </c>
      <c r="L22" s="429">
        <v>40.419586375843139</v>
      </c>
      <c r="M22" s="429">
        <v>42.079276620013076</v>
      </c>
      <c r="N22" s="429">
        <v>41.317211319669816</v>
      </c>
      <c r="O22" s="429">
        <v>45.889082574609304</v>
      </c>
      <c r="P22" s="429">
        <v>50.535261588816937</v>
      </c>
      <c r="Q22" s="326" t="s">
        <v>195</v>
      </c>
      <c r="R22" s="133"/>
      <c r="S22" s="133"/>
      <c r="T22" s="133"/>
      <c r="U22" s="133"/>
      <c r="V22" s="133"/>
      <c r="W22" s="133"/>
      <c r="X22" s="133"/>
      <c r="Y22" s="133"/>
      <c r="Z22" s="133"/>
      <c r="AA22" s="133"/>
      <c r="AB22" s="133"/>
      <c r="AC22" s="133"/>
      <c r="AD22" s="133"/>
      <c r="AE22" s="133"/>
    </row>
    <row r="23" spans="2:31" ht="25.15" customHeight="1">
      <c r="B23" s="202" t="s">
        <v>194</v>
      </c>
      <c r="C23" s="429">
        <v>9.6834896654691587</v>
      </c>
      <c r="D23" s="429">
        <v>10.233621501086624</v>
      </c>
      <c r="E23" s="429">
        <v>10.317352762272828</v>
      </c>
      <c r="F23" s="429">
        <v>11.389280828773634</v>
      </c>
      <c r="G23" s="429">
        <v>11.338854687325062</v>
      </c>
      <c r="H23" s="429">
        <v>10.763241614512308</v>
      </c>
      <c r="I23" s="429">
        <v>10.360663638655348</v>
      </c>
      <c r="J23" s="429">
        <v>12.383949724662049</v>
      </c>
      <c r="K23" s="429">
        <v>12.681023277572834</v>
      </c>
      <c r="L23" s="429">
        <v>13.497423702819718</v>
      </c>
      <c r="M23" s="429">
        <v>13.792273225839111</v>
      </c>
      <c r="N23" s="429">
        <v>14.772631195147628</v>
      </c>
      <c r="O23" s="429">
        <v>13.764415384354004</v>
      </c>
      <c r="P23" s="429">
        <v>13.759421381078557</v>
      </c>
      <c r="Q23" s="326" t="s">
        <v>196</v>
      </c>
      <c r="R23" s="133"/>
      <c r="S23" s="133"/>
      <c r="T23" s="133"/>
      <c r="U23" s="133"/>
      <c r="V23" s="133"/>
      <c r="W23" s="133"/>
      <c r="X23" s="133"/>
      <c r="Y23" s="133"/>
      <c r="Z23" s="133"/>
      <c r="AA23" s="133"/>
      <c r="AB23" s="133"/>
      <c r="AC23" s="133"/>
      <c r="AD23" s="133"/>
      <c r="AE23" s="133"/>
    </row>
    <row r="24" spans="2:31" ht="25.15" customHeight="1">
      <c r="B24" s="44" t="s">
        <v>155</v>
      </c>
      <c r="C24" s="428">
        <v>29.646369360426185</v>
      </c>
      <c r="D24" s="428">
        <v>27.060222780191008</v>
      </c>
      <c r="E24" s="428">
        <v>25.373620111420493</v>
      </c>
      <c r="F24" s="428">
        <v>23.26978399449909</v>
      </c>
      <c r="G24" s="428">
        <v>24.387319226875281</v>
      </c>
      <c r="H24" s="428">
        <v>21.827139346754077</v>
      </c>
      <c r="I24" s="428">
        <v>20.680173243088241</v>
      </c>
      <c r="J24" s="428">
        <v>20.594984763390809</v>
      </c>
      <c r="K24" s="428">
        <v>20.166205793128867</v>
      </c>
      <c r="L24" s="428">
        <v>20.67845032000649</v>
      </c>
      <c r="M24" s="428">
        <v>17.323428416662406</v>
      </c>
      <c r="N24" s="428">
        <v>20.118951330004119</v>
      </c>
      <c r="O24" s="428">
        <v>29.320536218251732</v>
      </c>
      <c r="P24" s="428">
        <v>29.490889542713873</v>
      </c>
      <c r="Q24" s="147" t="s">
        <v>306</v>
      </c>
      <c r="R24" s="133"/>
      <c r="S24" s="133"/>
      <c r="T24" s="133"/>
      <c r="U24" s="133"/>
      <c r="V24" s="133"/>
      <c r="W24" s="133"/>
      <c r="X24" s="133"/>
      <c r="Y24" s="133"/>
      <c r="Z24" s="133"/>
      <c r="AA24" s="133"/>
      <c r="AB24" s="133"/>
      <c r="AC24" s="133"/>
      <c r="AD24" s="133"/>
      <c r="AE24" s="133"/>
    </row>
    <row r="25" spans="2:31" ht="25.15" customHeight="1">
      <c r="B25" s="44" t="s">
        <v>15</v>
      </c>
      <c r="C25" s="428">
        <v>79.392673458492695</v>
      </c>
      <c r="D25" s="428">
        <v>86.75526541939503</v>
      </c>
      <c r="E25" s="428">
        <v>98.547643074807524</v>
      </c>
      <c r="F25" s="428">
        <v>100.42884222287616</v>
      </c>
      <c r="G25" s="428">
        <v>100.3915157845567</v>
      </c>
      <c r="H25" s="428">
        <v>96.573434106586646</v>
      </c>
      <c r="I25" s="428">
        <v>96.255499121849709</v>
      </c>
      <c r="J25" s="428">
        <v>95.248192015894887</v>
      </c>
      <c r="K25" s="428">
        <v>95.593969482899482</v>
      </c>
      <c r="L25" s="428">
        <v>95.256781226949954</v>
      </c>
      <c r="M25" s="428">
        <v>104.08248657136441</v>
      </c>
      <c r="N25" s="428">
        <v>103.80985739880062</v>
      </c>
      <c r="O25" s="428">
        <v>104.72704428471297</v>
      </c>
      <c r="P25" s="428">
        <v>108.02297651543635</v>
      </c>
      <c r="Q25" s="32" t="s">
        <v>101</v>
      </c>
      <c r="R25" s="133"/>
      <c r="S25" s="133"/>
      <c r="T25" s="133"/>
      <c r="U25" s="133"/>
      <c r="V25" s="133"/>
      <c r="W25" s="133"/>
      <c r="X25" s="133"/>
      <c r="Y25" s="133"/>
      <c r="Z25" s="133"/>
      <c r="AA25" s="133"/>
      <c r="AB25" s="133"/>
      <c r="AC25" s="133"/>
      <c r="AD25" s="133"/>
      <c r="AE25" s="133"/>
    </row>
    <row r="26" spans="2:31" ht="25.15" customHeight="1">
      <c r="B26" s="44" t="s">
        <v>41</v>
      </c>
      <c r="C26" s="428">
        <v>59.499423451033252</v>
      </c>
      <c r="D26" s="428">
        <v>66.664830257009399</v>
      </c>
      <c r="E26" s="428">
        <v>71.077380912065792</v>
      </c>
      <c r="F26" s="428">
        <v>73.087200493467904</v>
      </c>
      <c r="G26" s="428">
        <v>76.932657485042839</v>
      </c>
      <c r="H26" s="428">
        <v>68.056383376095425</v>
      </c>
      <c r="I26" s="428">
        <v>65.314766722095129</v>
      </c>
      <c r="J26" s="428">
        <v>67.037942089692706</v>
      </c>
      <c r="K26" s="428">
        <v>66.82716201016288</v>
      </c>
      <c r="L26" s="428">
        <v>69.8522416256193</v>
      </c>
      <c r="M26" s="428">
        <v>77.277464833879023</v>
      </c>
      <c r="N26" s="428">
        <v>80.018651243622173</v>
      </c>
      <c r="O26" s="428">
        <v>93.701078461928034</v>
      </c>
      <c r="P26" s="428">
        <v>101.8085490280457</v>
      </c>
      <c r="Q26" s="32" t="s">
        <v>42</v>
      </c>
      <c r="R26" s="133"/>
      <c r="S26" s="133"/>
      <c r="T26" s="133"/>
      <c r="U26" s="133"/>
      <c r="V26" s="133"/>
      <c r="W26" s="133"/>
      <c r="X26" s="133"/>
      <c r="Y26" s="133"/>
      <c r="Z26" s="133"/>
      <c r="AA26" s="133"/>
      <c r="AB26" s="133"/>
      <c r="AC26" s="133"/>
      <c r="AD26" s="133"/>
      <c r="AE26" s="133"/>
    </row>
    <row r="27" spans="2:31" ht="25.15" customHeight="1" thickBot="1">
      <c r="B27" s="142" t="s">
        <v>16</v>
      </c>
      <c r="C27" s="430">
        <v>100</v>
      </c>
      <c r="D27" s="430">
        <v>100</v>
      </c>
      <c r="E27" s="430">
        <v>100</v>
      </c>
      <c r="F27" s="430">
        <v>100</v>
      </c>
      <c r="G27" s="430">
        <v>100</v>
      </c>
      <c r="H27" s="430">
        <v>100</v>
      </c>
      <c r="I27" s="430">
        <v>100</v>
      </c>
      <c r="J27" s="430">
        <v>100</v>
      </c>
      <c r="K27" s="430">
        <v>100</v>
      </c>
      <c r="L27" s="430">
        <v>100</v>
      </c>
      <c r="M27" s="430">
        <v>100</v>
      </c>
      <c r="N27" s="430">
        <v>100</v>
      </c>
      <c r="O27" s="430">
        <v>100</v>
      </c>
      <c r="P27" s="430">
        <v>100</v>
      </c>
      <c r="Q27" s="144" t="s">
        <v>20</v>
      </c>
      <c r="R27" s="133"/>
      <c r="S27" s="133"/>
      <c r="T27" s="133"/>
      <c r="U27" s="133"/>
      <c r="V27" s="133"/>
      <c r="W27" s="133"/>
      <c r="X27" s="133"/>
      <c r="Y27" s="133"/>
      <c r="Z27" s="133"/>
      <c r="AA27" s="133"/>
      <c r="AB27" s="133"/>
      <c r="AC27" s="133"/>
      <c r="AD27" s="133"/>
      <c r="AE27" s="133"/>
    </row>
    <row r="28" spans="2:31" ht="24.95" customHeight="1">
      <c r="B28" s="534" t="s">
        <v>326</v>
      </c>
      <c r="C28" s="534"/>
      <c r="D28" s="31"/>
      <c r="E28" s="31"/>
      <c r="F28" s="31"/>
      <c r="G28" s="31"/>
      <c r="H28" s="31"/>
      <c r="I28" s="31"/>
      <c r="J28" s="31"/>
      <c r="K28" s="31"/>
      <c r="L28" s="31"/>
      <c r="M28" s="31"/>
      <c r="N28" s="31"/>
      <c r="O28" s="31"/>
      <c r="P28" s="31"/>
      <c r="Q28" s="313" t="s">
        <v>327</v>
      </c>
      <c r="R28" s="133"/>
      <c r="S28" s="133"/>
      <c r="T28" s="133"/>
      <c r="U28" s="133"/>
      <c r="V28" s="133"/>
      <c r="W28" s="133"/>
      <c r="X28" s="133"/>
      <c r="Y28" s="133"/>
      <c r="Z28" s="133"/>
      <c r="AA28" s="133"/>
      <c r="AB28" s="133"/>
      <c r="AC28" s="133"/>
      <c r="AD28" s="133"/>
      <c r="AE28" s="133"/>
    </row>
    <row r="29" spans="2:31" ht="24.95" customHeight="1">
      <c r="B29" s="535" t="s">
        <v>191</v>
      </c>
      <c r="C29" s="535"/>
      <c r="D29" s="11"/>
      <c r="E29" s="11"/>
      <c r="F29" s="12"/>
      <c r="G29" s="12"/>
      <c r="N29" s="177"/>
      <c r="O29" s="177"/>
      <c r="P29" s="177"/>
      <c r="Q29" s="313" t="s">
        <v>193</v>
      </c>
      <c r="R29" s="133"/>
      <c r="S29" s="133"/>
      <c r="T29" s="133"/>
      <c r="U29" s="133"/>
      <c r="V29" s="133"/>
      <c r="W29" s="133"/>
      <c r="X29" s="133"/>
      <c r="Y29" s="133"/>
      <c r="Z29" s="133"/>
      <c r="AA29" s="133"/>
      <c r="AB29" s="133"/>
      <c r="AC29" s="133"/>
      <c r="AD29" s="133"/>
      <c r="AE29" s="133"/>
    </row>
    <row r="30" spans="2:31" ht="24.95" customHeight="1">
      <c r="B30" s="81" t="s">
        <v>192</v>
      </c>
      <c r="C30" s="81"/>
      <c r="D30" s="78"/>
      <c r="E30" s="78"/>
      <c r="F30" s="79"/>
      <c r="G30" s="80"/>
      <c r="H30" s="8"/>
      <c r="I30" s="8"/>
      <c r="J30" s="8"/>
      <c r="K30" s="100"/>
      <c r="L30" s="100"/>
      <c r="M30" s="100"/>
      <c r="N30" s="100"/>
      <c r="O30" s="100"/>
      <c r="P30" s="100"/>
      <c r="Q30" s="81" t="s">
        <v>551</v>
      </c>
      <c r="R30" s="133"/>
      <c r="S30" s="133"/>
      <c r="T30" s="133"/>
      <c r="U30" s="133"/>
      <c r="V30" s="133"/>
      <c r="W30" s="133"/>
      <c r="X30" s="133"/>
      <c r="Y30" s="133"/>
      <c r="Z30" s="133"/>
      <c r="AA30" s="133"/>
      <c r="AB30" s="133"/>
      <c r="AC30" s="133"/>
      <c r="AD30" s="133"/>
      <c r="AE30" s="133"/>
    </row>
    <row r="31" spans="2:31" ht="24.95" customHeight="1">
      <c r="B31" s="27"/>
      <c r="C31" s="324"/>
      <c r="D31" s="33"/>
      <c r="E31" s="33"/>
      <c r="F31" s="33"/>
      <c r="G31" s="33"/>
      <c r="H31" s="33"/>
      <c r="I31" s="33"/>
      <c r="J31" s="33"/>
      <c r="K31" s="33"/>
      <c r="L31" s="33"/>
      <c r="M31" s="33"/>
      <c r="N31" s="33"/>
      <c r="O31" s="33"/>
      <c r="P31" s="33"/>
      <c r="Q31" s="33"/>
      <c r="R31" s="133"/>
      <c r="S31" s="133"/>
      <c r="T31" s="133"/>
      <c r="U31" s="133"/>
      <c r="V31" s="133"/>
      <c r="W31" s="133"/>
      <c r="X31" s="133"/>
      <c r="Y31" s="133"/>
      <c r="Z31" s="133"/>
      <c r="AA31" s="133"/>
      <c r="AB31" s="133"/>
      <c r="AC31" s="133"/>
      <c r="AD31" s="133"/>
      <c r="AE31" s="133"/>
    </row>
    <row r="32" spans="2:31" ht="25.15" customHeight="1">
      <c r="B32" s="531" t="s">
        <v>400</v>
      </c>
      <c r="C32" s="531"/>
      <c r="D32" s="531"/>
      <c r="E32" s="531"/>
      <c r="F32" s="531"/>
      <c r="G32" s="531"/>
      <c r="H32" s="531"/>
      <c r="I32" s="531"/>
      <c r="J32" s="531"/>
      <c r="K32" s="531"/>
      <c r="L32" s="531"/>
      <c r="M32" s="531"/>
      <c r="N32" s="531"/>
      <c r="O32" s="531"/>
      <c r="P32" s="531"/>
      <c r="Q32" s="531"/>
    </row>
    <row r="33" spans="2:30" ht="25.15" customHeight="1">
      <c r="B33" s="532" t="s">
        <v>401</v>
      </c>
      <c r="C33" s="532"/>
      <c r="D33" s="532"/>
      <c r="E33" s="532"/>
      <c r="F33" s="532"/>
      <c r="G33" s="532"/>
      <c r="H33" s="532"/>
      <c r="I33" s="532"/>
      <c r="J33" s="532"/>
      <c r="K33" s="532"/>
      <c r="L33" s="532"/>
      <c r="M33" s="532"/>
      <c r="N33" s="532"/>
      <c r="O33" s="532"/>
      <c r="P33" s="532"/>
      <c r="Q33" s="532"/>
    </row>
    <row r="34" spans="2:30" ht="25.15" customHeight="1">
      <c r="B34" s="180"/>
      <c r="C34" s="180"/>
      <c r="D34" s="180"/>
      <c r="E34" s="180"/>
      <c r="F34" s="180"/>
      <c r="G34" s="180"/>
      <c r="H34" s="180"/>
      <c r="I34" s="180"/>
      <c r="J34" s="180"/>
      <c r="K34" s="180"/>
      <c r="L34" s="180"/>
      <c r="M34" s="180"/>
      <c r="N34" s="180"/>
      <c r="O34" s="180"/>
      <c r="P34" s="180"/>
      <c r="Q34" s="145" t="s">
        <v>203</v>
      </c>
    </row>
    <row r="35" spans="2:30" ht="25.15" customHeight="1">
      <c r="B35" s="208" t="s">
        <v>64</v>
      </c>
      <c r="C35" s="209">
        <v>2010</v>
      </c>
      <c r="D35" s="209">
        <v>2011</v>
      </c>
      <c r="E35" s="209">
        <v>2012</v>
      </c>
      <c r="F35" s="209">
        <v>2013</v>
      </c>
      <c r="G35" s="209">
        <v>2014</v>
      </c>
      <c r="H35" s="209">
        <v>2015</v>
      </c>
      <c r="I35" s="209">
        <v>2016</v>
      </c>
      <c r="J35" s="49">
        <v>2017</v>
      </c>
      <c r="K35" s="49">
        <v>2018</v>
      </c>
      <c r="L35" s="49">
        <v>2019</v>
      </c>
      <c r="M35" s="49">
        <v>2020</v>
      </c>
      <c r="N35" s="49">
        <v>2021</v>
      </c>
      <c r="O35" s="49" t="s">
        <v>185</v>
      </c>
      <c r="P35" s="49" t="s">
        <v>186</v>
      </c>
      <c r="Q35" s="210" t="s">
        <v>65</v>
      </c>
    </row>
    <row r="36" spans="2:30" ht="25.15" customHeight="1">
      <c r="B36" s="44" t="s">
        <v>100</v>
      </c>
      <c r="C36" s="214" t="s">
        <v>116</v>
      </c>
      <c r="D36" s="428">
        <v>11.244744558174634</v>
      </c>
      <c r="E36" s="428">
        <v>-9.1446171983157303</v>
      </c>
      <c r="F36" s="428">
        <v>10.029081301109599</v>
      </c>
      <c r="G36" s="428">
        <v>9.9978908042214876</v>
      </c>
      <c r="H36" s="428">
        <v>1.6720049436351525</v>
      </c>
      <c r="I36" s="428">
        <v>2.8473673002467281</v>
      </c>
      <c r="J36" s="428">
        <v>6.5978656654054335</v>
      </c>
      <c r="K36" s="428">
        <v>1.0610413934946328</v>
      </c>
      <c r="L36" s="428">
        <v>6.751155184172597</v>
      </c>
      <c r="M36" s="428">
        <v>-1.5116607070399857</v>
      </c>
      <c r="N36" s="428">
        <v>4.7624740418707567</v>
      </c>
      <c r="O36" s="428">
        <v>14.340301290486979</v>
      </c>
      <c r="P36" s="428">
        <v>11.680490070033866</v>
      </c>
      <c r="Q36" s="32" t="s">
        <v>99</v>
      </c>
      <c r="R36" s="133"/>
      <c r="S36" s="133"/>
      <c r="T36" s="133"/>
      <c r="U36" s="133"/>
      <c r="V36" s="133"/>
      <c r="W36" s="133"/>
      <c r="X36" s="133"/>
      <c r="Y36" s="133"/>
      <c r="Z36" s="133"/>
      <c r="AA36" s="133"/>
      <c r="AB36" s="133"/>
      <c r="AC36" s="133"/>
      <c r="AD36" s="133"/>
    </row>
    <row r="37" spans="2:30" ht="25.15" customHeight="1">
      <c r="B37" s="202" t="s">
        <v>180</v>
      </c>
      <c r="C37" s="215" t="s">
        <v>116</v>
      </c>
      <c r="D37" s="429">
        <v>11.005926603846493</v>
      </c>
      <c r="E37" s="429">
        <v>-11.978770595860066</v>
      </c>
      <c r="F37" s="429">
        <v>8.3651160271751799</v>
      </c>
      <c r="G37" s="429">
        <v>11.884168659201499</v>
      </c>
      <c r="H37" s="429">
        <v>1.7570779518381041</v>
      </c>
      <c r="I37" s="429">
        <v>3.1889226497549661</v>
      </c>
      <c r="J37" s="429">
        <v>2.8346015592214169</v>
      </c>
      <c r="K37" s="429">
        <v>0.20485622882715493</v>
      </c>
      <c r="L37" s="429">
        <v>6.4648960952870649</v>
      </c>
      <c r="M37" s="429">
        <v>-1.0544431574146751</v>
      </c>
      <c r="N37" s="429">
        <v>2.4648668712947019</v>
      </c>
      <c r="O37" s="429">
        <v>19.405961997585173</v>
      </c>
      <c r="P37" s="429">
        <v>14.109896003069021</v>
      </c>
      <c r="Q37" s="326" t="s">
        <v>195</v>
      </c>
      <c r="R37" s="133"/>
      <c r="S37" s="133"/>
      <c r="T37" s="133"/>
      <c r="U37" s="133"/>
      <c r="V37" s="133"/>
      <c r="W37" s="133"/>
      <c r="X37" s="133"/>
      <c r="Y37" s="133"/>
      <c r="Z37" s="133"/>
      <c r="AA37" s="133"/>
      <c r="AB37" s="133"/>
      <c r="AC37" s="133"/>
      <c r="AD37" s="133"/>
    </row>
    <row r="38" spans="2:30" ht="25.15" customHeight="1">
      <c r="B38" s="202" t="s">
        <v>194</v>
      </c>
      <c r="C38" s="215" t="s">
        <v>116</v>
      </c>
      <c r="D38" s="429">
        <v>12.250399959371805</v>
      </c>
      <c r="E38" s="429">
        <v>2.6576064026564872</v>
      </c>
      <c r="F38" s="429">
        <v>15.970375259590108</v>
      </c>
      <c r="G38" s="429">
        <v>3.7044973220376143</v>
      </c>
      <c r="H38" s="429">
        <v>1.3657789459454284</v>
      </c>
      <c r="I38" s="429">
        <v>1.6131699053016924</v>
      </c>
      <c r="J38" s="429">
        <v>20.407154402719385</v>
      </c>
      <c r="K38" s="429">
        <v>3.7442923168236497</v>
      </c>
      <c r="L38" s="429">
        <v>7.6176728684751227</v>
      </c>
      <c r="M38" s="429">
        <v>-2.8808512019468435</v>
      </c>
      <c r="N38" s="429">
        <v>11.772315429994261</v>
      </c>
      <c r="O38" s="429">
        <v>0.17227860420527819</v>
      </c>
      <c r="P38" s="429">
        <v>3.5811116107773433</v>
      </c>
      <c r="Q38" s="326" t="s">
        <v>196</v>
      </c>
      <c r="R38" s="133"/>
      <c r="S38" s="133"/>
      <c r="T38" s="133"/>
      <c r="U38" s="133"/>
      <c r="V38" s="133"/>
      <c r="W38" s="133"/>
      <c r="X38" s="133"/>
      <c r="Y38" s="133"/>
      <c r="Z38" s="133"/>
      <c r="AA38" s="133"/>
      <c r="AB38" s="133"/>
      <c r="AC38" s="133"/>
      <c r="AD38" s="133"/>
    </row>
    <row r="39" spans="2:30" ht="25.15" customHeight="1">
      <c r="B39" s="44" t="s">
        <v>155</v>
      </c>
      <c r="C39" s="214" t="s">
        <v>116</v>
      </c>
      <c r="D39" s="428">
        <v>-3.0494464878911165</v>
      </c>
      <c r="E39" s="428">
        <v>-4.5220094985143007</v>
      </c>
      <c r="F39" s="428">
        <v>-3.6550492266754775</v>
      </c>
      <c r="G39" s="428">
        <v>9.1682664546175907</v>
      </c>
      <c r="H39" s="428">
        <v>-4.4236986301744778</v>
      </c>
      <c r="I39" s="428">
        <v>1.4476561998111315E-2</v>
      </c>
      <c r="J39" s="428">
        <v>0.32010761709417856</v>
      </c>
      <c r="K39" s="428">
        <v>-0.79539943764959098</v>
      </c>
      <c r="L39" s="428">
        <v>3.6766149952300653</v>
      </c>
      <c r="M39" s="428">
        <v>-20.377510251266028</v>
      </c>
      <c r="N39" s="428">
        <v>21.194730767032421</v>
      </c>
      <c r="O39" s="428">
        <v>56.680232182150149</v>
      </c>
      <c r="P39" s="428">
        <v>4.2207347863668865</v>
      </c>
      <c r="Q39" s="147" t="s">
        <v>306</v>
      </c>
      <c r="R39" s="133"/>
      <c r="S39" s="133"/>
      <c r="T39" s="133"/>
      <c r="U39" s="133"/>
      <c r="V39" s="133"/>
      <c r="W39" s="133"/>
      <c r="X39" s="133"/>
      <c r="Y39" s="133"/>
      <c r="Z39" s="133"/>
      <c r="AA39" s="133"/>
      <c r="AB39" s="133"/>
      <c r="AC39" s="133"/>
      <c r="AD39" s="133"/>
    </row>
    <row r="40" spans="2:30" ht="25.15" customHeight="1">
      <c r="B40" s="44" t="s">
        <v>15</v>
      </c>
      <c r="C40" s="214" t="s">
        <v>116</v>
      </c>
      <c r="D40" s="428">
        <v>16.066224228554947</v>
      </c>
      <c r="E40" s="428">
        <v>15.665170759759928</v>
      </c>
      <c r="F40" s="428">
        <v>7.0609899533027543</v>
      </c>
      <c r="G40" s="428">
        <v>4.1269765274639658</v>
      </c>
      <c r="H40" s="428">
        <v>2.7254673219625714</v>
      </c>
      <c r="I40" s="428">
        <v>5.2139656693951153</v>
      </c>
      <c r="J40" s="428">
        <v>-0.31911677711171649</v>
      </c>
      <c r="K40" s="428">
        <v>1.6817116083057027</v>
      </c>
      <c r="L40" s="428">
        <v>0.75170903548806844</v>
      </c>
      <c r="M40" s="428">
        <v>3.8488408495513937</v>
      </c>
      <c r="N40" s="428">
        <v>4.0814129576962399</v>
      </c>
      <c r="O40" s="428">
        <v>8.4595729563084596</v>
      </c>
      <c r="P40" s="428">
        <v>6.879757555374999</v>
      </c>
      <c r="Q40" s="32" t="s">
        <v>101</v>
      </c>
      <c r="R40" s="133"/>
      <c r="S40" s="133"/>
      <c r="T40" s="133"/>
      <c r="U40" s="133"/>
      <c r="V40" s="133"/>
      <c r="W40" s="133"/>
      <c r="X40" s="133"/>
      <c r="Y40" s="133"/>
      <c r="Z40" s="133"/>
      <c r="AA40" s="133"/>
      <c r="AB40" s="133"/>
      <c r="AC40" s="133"/>
      <c r="AD40" s="133"/>
    </row>
    <row r="41" spans="2:30" ht="25.15" customHeight="1">
      <c r="B41" s="44" t="s">
        <v>41</v>
      </c>
      <c r="C41" s="214" t="s">
        <v>116</v>
      </c>
      <c r="D41" s="428">
        <v>19.007535208701132</v>
      </c>
      <c r="E41" s="428">
        <v>8.5642516344807351</v>
      </c>
      <c r="F41" s="428">
        <v>8.0261632164468022</v>
      </c>
      <c r="G41" s="428">
        <v>9.6463325740947514</v>
      </c>
      <c r="H41" s="428">
        <v>-5.5339852780603387</v>
      </c>
      <c r="I41" s="428">
        <v>1.3090000007127234</v>
      </c>
      <c r="J41" s="428">
        <v>3.3927248263432963</v>
      </c>
      <c r="K41" s="428">
        <v>0.99536360734675533</v>
      </c>
      <c r="L41" s="428">
        <v>5.6852416311462983</v>
      </c>
      <c r="M41" s="428">
        <v>5.1459175413308245</v>
      </c>
      <c r="N41" s="428">
        <v>8.0564274184163676</v>
      </c>
      <c r="O41" s="428">
        <v>25.892831239603176</v>
      </c>
      <c r="P41" s="428">
        <v>12.584298256775671</v>
      </c>
      <c r="Q41" s="32" t="s">
        <v>42</v>
      </c>
      <c r="R41" s="133"/>
      <c r="S41" s="133"/>
      <c r="T41" s="133"/>
      <c r="U41" s="133"/>
      <c r="V41" s="133"/>
      <c r="W41" s="133"/>
      <c r="X41" s="133"/>
      <c r="Y41" s="133"/>
      <c r="Z41" s="133"/>
      <c r="AA41" s="133"/>
      <c r="AB41" s="133"/>
      <c r="AC41" s="133"/>
      <c r="AD41" s="133"/>
    </row>
    <row r="42" spans="2:30" ht="25.15" customHeight="1" thickBot="1">
      <c r="B42" s="142" t="s">
        <v>16</v>
      </c>
      <c r="C42" s="216" t="s">
        <v>116</v>
      </c>
      <c r="D42" s="430">
        <v>6.2161218133717</v>
      </c>
      <c r="E42" s="430">
        <v>1.8244807887022318</v>
      </c>
      <c r="F42" s="430">
        <v>5.0555596542600112</v>
      </c>
      <c r="G42" s="430">
        <v>4.1656918425617695</v>
      </c>
      <c r="H42" s="430">
        <v>6.7867728794517523</v>
      </c>
      <c r="I42" s="430">
        <v>5.5614907549683013</v>
      </c>
      <c r="J42" s="430">
        <v>0.73506871316522115</v>
      </c>
      <c r="K42" s="430">
        <v>1.3139138814114215</v>
      </c>
      <c r="L42" s="430">
        <v>1.1083481389307037</v>
      </c>
      <c r="M42" s="430">
        <v>-4.9570524365270874</v>
      </c>
      <c r="N42" s="430">
        <v>4.3547552992131644</v>
      </c>
      <c r="O42" s="430">
        <v>7.5096970322181988</v>
      </c>
      <c r="P42" s="430">
        <v>3.6187065354716275</v>
      </c>
      <c r="Q42" s="144" t="s">
        <v>20</v>
      </c>
      <c r="R42" s="133"/>
      <c r="S42" s="133"/>
      <c r="T42" s="133"/>
      <c r="U42" s="133"/>
      <c r="V42" s="133"/>
      <c r="W42" s="133"/>
      <c r="X42" s="133"/>
      <c r="Y42" s="133"/>
      <c r="Z42" s="133"/>
      <c r="AA42" s="133"/>
      <c r="AB42" s="133"/>
      <c r="AC42" s="133"/>
      <c r="AD42" s="133"/>
    </row>
    <row r="43" spans="2:30" ht="24.95" customHeight="1">
      <c r="B43" s="536" t="s">
        <v>115</v>
      </c>
      <c r="C43" s="536"/>
      <c r="D43" s="536"/>
      <c r="E43" s="536"/>
      <c r="F43" s="536"/>
      <c r="G43" s="228"/>
      <c r="H43" s="228"/>
      <c r="I43" s="228"/>
      <c r="J43" s="228"/>
      <c r="K43" s="228"/>
      <c r="L43" s="228"/>
      <c r="M43" s="228"/>
      <c r="N43" s="228"/>
      <c r="O43" s="228"/>
      <c r="P43" s="228"/>
      <c r="Q43" s="328" t="s">
        <v>394</v>
      </c>
      <c r="R43" s="133"/>
      <c r="S43" s="133"/>
      <c r="T43" s="133"/>
      <c r="U43" s="133"/>
      <c r="V43" s="133"/>
      <c r="W43" s="133"/>
      <c r="X43" s="133"/>
      <c r="Y43" s="133"/>
      <c r="Z43" s="133"/>
      <c r="AA43" s="133"/>
      <c r="AB43" s="133"/>
      <c r="AC43" s="133"/>
      <c r="AD43" s="133"/>
    </row>
    <row r="44" spans="2:30" ht="24.95" customHeight="1">
      <c r="B44" s="535" t="s">
        <v>326</v>
      </c>
      <c r="C44" s="535"/>
      <c r="D44" s="31"/>
      <c r="E44" s="31"/>
      <c r="F44" s="31"/>
      <c r="G44" s="31"/>
      <c r="H44" s="31"/>
      <c r="I44" s="31"/>
      <c r="J44" s="31"/>
      <c r="K44" s="31"/>
      <c r="L44" s="31"/>
      <c r="M44" s="31"/>
      <c r="N44" s="31"/>
      <c r="O44" s="31"/>
      <c r="P44" s="31"/>
      <c r="Q44" s="313" t="s">
        <v>327</v>
      </c>
      <c r="R44" s="133"/>
      <c r="S44" s="133"/>
      <c r="T44" s="133"/>
      <c r="U44" s="133"/>
      <c r="V44" s="133"/>
      <c r="W44" s="133"/>
      <c r="X44" s="133"/>
      <c r="Y44" s="133"/>
      <c r="Z44" s="133"/>
      <c r="AA44" s="133"/>
      <c r="AB44" s="133"/>
    </row>
    <row r="45" spans="2:30" ht="24.95" customHeight="1">
      <c r="B45" s="535" t="s">
        <v>399</v>
      </c>
      <c r="C45" s="535"/>
      <c r="D45" s="11"/>
      <c r="E45" s="11"/>
      <c r="F45" s="12"/>
      <c r="G45" s="12"/>
      <c r="N45" s="177"/>
      <c r="O45" s="177"/>
      <c r="P45" s="177"/>
      <c r="Q45" s="313" t="s">
        <v>193</v>
      </c>
    </row>
    <row r="46" spans="2:30" ht="24.95" customHeight="1">
      <c r="B46" s="81" t="s">
        <v>192</v>
      </c>
      <c r="C46" s="81"/>
      <c r="D46" s="78"/>
      <c r="E46" s="78"/>
      <c r="F46" s="79"/>
      <c r="G46" s="80"/>
      <c r="H46" s="8"/>
      <c r="I46" s="8"/>
      <c r="J46" s="8"/>
      <c r="K46" s="100"/>
      <c r="L46" s="100"/>
      <c r="M46" s="100"/>
      <c r="N46" s="100"/>
      <c r="O46" s="100"/>
      <c r="P46" s="100"/>
      <c r="Q46" s="81" t="s">
        <v>551</v>
      </c>
    </row>
    <row r="47" spans="2:30" ht="24.95" customHeight="1">
      <c r="B47" s="27"/>
      <c r="C47" s="324"/>
      <c r="D47" s="33"/>
      <c r="E47" s="33"/>
      <c r="F47" s="33"/>
      <c r="G47" s="33"/>
      <c r="H47" s="33"/>
      <c r="I47" s="33"/>
      <c r="J47" s="33"/>
      <c r="K47" s="33"/>
      <c r="L47" s="33"/>
      <c r="M47" s="33"/>
      <c r="N47" s="33"/>
      <c r="O47" s="33"/>
      <c r="P47" s="33"/>
      <c r="Q47" s="33"/>
    </row>
    <row r="48" spans="2:30" ht="25.15" customHeight="1">
      <c r="B48" s="531" t="s">
        <v>404</v>
      </c>
      <c r="C48" s="531"/>
      <c r="D48" s="531"/>
      <c r="E48" s="531"/>
      <c r="F48" s="531"/>
      <c r="G48" s="531"/>
      <c r="H48" s="531"/>
      <c r="I48" s="531"/>
      <c r="J48" s="531"/>
      <c r="K48" s="531"/>
      <c r="L48" s="531"/>
      <c r="M48" s="531"/>
      <c r="N48" s="531"/>
      <c r="O48" s="531"/>
      <c r="P48" s="531"/>
      <c r="Q48" s="531"/>
    </row>
    <row r="49" spans="2:31" ht="25.15" customHeight="1">
      <c r="B49" s="532" t="s">
        <v>405</v>
      </c>
      <c r="C49" s="532"/>
      <c r="D49" s="532"/>
      <c r="E49" s="532"/>
      <c r="F49" s="532"/>
      <c r="G49" s="532"/>
      <c r="H49" s="532"/>
      <c r="I49" s="532"/>
      <c r="J49" s="532"/>
      <c r="K49" s="532"/>
      <c r="L49" s="532"/>
      <c r="M49" s="532"/>
      <c r="N49" s="532"/>
      <c r="O49" s="532"/>
      <c r="P49" s="532"/>
      <c r="Q49" s="532"/>
    </row>
    <row r="50" spans="2:31" ht="25.15" customHeight="1">
      <c r="B50" s="180"/>
      <c r="C50" s="180"/>
      <c r="D50" s="180"/>
      <c r="E50" s="180"/>
      <c r="F50" s="180"/>
      <c r="G50" s="180"/>
      <c r="H50" s="180"/>
      <c r="I50" s="180"/>
      <c r="J50" s="180"/>
      <c r="K50" s="180"/>
      <c r="L50" s="180"/>
      <c r="M50" s="180"/>
      <c r="N50" s="180"/>
      <c r="O50" s="180"/>
      <c r="P50" s="180"/>
      <c r="Q50" s="333" t="s">
        <v>402</v>
      </c>
    </row>
    <row r="51" spans="2:31" ht="25.15" customHeight="1">
      <c r="B51" s="208" t="s">
        <v>64</v>
      </c>
      <c r="C51" s="209">
        <v>2010</v>
      </c>
      <c r="D51" s="209">
        <v>2011</v>
      </c>
      <c r="E51" s="209">
        <v>2012</v>
      </c>
      <c r="F51" s="209">
        <v>2013</v>
      </c>
      <c r="G51" s="209">
        <v>2014</v>
      </c>
      <c r="H51" s="209">
        <v>2015</v>
      </c>
      <c r="I51" s="209">
        <v>2016</v>
      </c>
      <c r="J51" s="49">
        <v>2017</v>
      </c>
      <c r="K51" s="49">
        <v>2018</v>
      </c>
      <c r="L51" s="49">
        <v>2019</v>
      </c>
      <c r="M51" s="49">
        <v>2020</v>
      </c>
      <c r="N51" s="49">
        <v>2021</v>
      </c>
      <c r="O51" s="49" t="s">
        <v>185</v>
      </c>
      <c r="P51" s="49" t="s">
        <v>186</v>
      </c>
      <c r="Q51" s="210" t="s">
        <v>65</v>
      </c>
    </row>
    <row r="52" spans="2:31" ht="25.15" customHeight="1">
      <c r="B52" s="44" t="s">
        <v>100</v>
      </c>
      <c r="C52" s="86">
        <v>151476.53860534518</v>
      </c>
      <c r="D52" s="86">
        <v>168509.68843708103</v>
      </c>
      <c r="E52" s="86">
        <v>153100.12248743547</v>
      </c>
      <c r="F52" s="86">
        <v>168454.65824379874</v>
      </c>
      <c r="G52" s="86">
        <v>185296.57102963823</v>
      </c>
      <c r="H52" s="86">
        <v>188394.73885764022</v>
      </c>
      <c r="I52" s="86">
        <v>193759.02904725788</v>
      </c>
      <c r="J52" s="86">
        <v>206542.98949838986</v>
      </c>
      <c r="K52" s="86">
        <v>208734.49611232904</v>
      </c>
      <c r="L52" s="86">
        <v>222826.4858677731</v>
      </c>
      <c r="M52" s="86">
        <v>219458.10543603197</v>
      </c>
      <c r="N52" s="86">
        <v>229909.74074020432</v>
      </c>
      <c r="O52" s="86">
        <v>262879.4902585271</v>
      </c>
      <c r="P52" s="86">
        <v>293585.10301432997</v>
      </c>
      <c r="Q52" s="32" t="s">
        <v>99</v>
      </c>
      <c r="R52" s="133"/>
      <c r="S52" s="133"/>
      <c r="T52" s="133"/>
      <c r="U52" s="133"/>
      <c r="V52" s="133"/>
      <c r="W52" s="133"/>
      <c r="X52" s="133"/>
      <c r="Y52" s="133"/>
      <c r="Z52" s="133"/>
      <c r="AA52" s="133"/>
      <c r="AB52" s="133"/>
      <c r="AC52" s="133"/>
      <c r="AD52" s="133"/>
      <c r="AE52" s="133"/>
    </row>
    <row r="53" spans="2:31" ht="25.15" customHeight="1">
      <c r="B53" s="202" t="s">
        <v>180</v>
      </c>
      <c r="C53" s="327">
        <v>122407.76271084917</v>
      </c>
      <c r="D53" s="327">
        <v>135879.87123221581</v>
      </c>
      <c r="E53" s="327">
        <v>119603.13317135863</v>
      </c>
      <c r="F53" s="327">
        <v>129608.07403327963</v>
      </c>
      <c r="G53" s="327">
        <v>145010.91614733732</v>
      </c>
      <c r="H53" s="327">
        <v>147558.87098272063</v>
      </c>
      <c r="I53" s="327">
        <v>152264.40924121134</v>
      </c>
      <c r="J53" s="327">
        <v>156580.49855970201</v>
      </c>
      <c r="K53" s="327">
        <v>156901.26346413017</v>
      </c>
      <c r="L53" s="327">
        <v>167044.76711927878</v>
      </c>
      <c r="M53" s="327">
        <v>165283.37500257028</v>
      </c>
      <c r="N53" s="327">
        <v>169357.39015676643</v>
      </c>
      <c r="O53" s="327">
        <v>202222.82093069056</v>
      </c>
      <c r="P53" s="327">
        <v>230756.25065848348</v>
      </c>
      <c r="Q53" s="203" t="s">
        <v>195</v>
      </c>
      <c r="R53" s="133"/>
      <c r="S53" s="133"/>
      <c r="T53" s="133"/>
      <c r="U53" s="133"/>
      <c r="V53" s="133"/>
      <c r="W53" s="133"/>
      <c r="X53" s="133"/>
      <c r="Y53" s="133"/>
      <c r="Z53" s="133"/>
      <c r="AA53" s="133"/>
      <c r="AB53" s="133"/>
      <c r="AC53" s="133"/>
      <c r="AD53" s="133"/>
      <c r="AE53" s="133"/>
    </row>
    <row r="54" spans="2:31" ht="25.15" customHeight="1">
      <c r="B54" s="202" t="s">
        <v>194</v>
      </c>
      <c r="C54" s="327">
        <v>29068.775894496015</v>
      </c>
      <c r="D54" s="327">
        <v>32629.817204865234</v>
      </c>
      <c r="E54" s="327">
        <v>33496.989316076841</v>
      </c>
      <c r="F54" s="327">
        <v>38846.584210519119</v>
      </c>
      <c r="G54" s="327">
        <v>40285.654882300885</v>
      </c>
      <c r="H54" s="327">
        <v>40835.86787491959</v>
      </c>
      <c r="I54" s="327">
        <v>41494.619806046554</v>
      </c>
      <c r="J54" s="327">
        <v>49962.49093868785</v>
      </c>
      <c r="K54" s="327">
        <v>51833.232648198857</v>
      </c>
      <c r="L54" s="327">
        <v>55781.718748494292</v>
      </c>
      <c r="M54" s="327">
        <v>54174.730433461686</v>
      </c>
      <c r="N54" s="327">
        <v>60552.350583437896</v>
      </c>
      <c r="O54" s="327">
        <v>60656.669327836535</v>
      </c>
      <c r="P54" s="327">
        <v>62828.852355846509</v>
      </c>
      <c r="Q54" s="203" t="s">
        <v>196</v>
      </c>
      <c r="R54" s="133"/>
      <c r="S54" s="133"/>
      <c r="T54" s="133"/>
      <c r="U54" s="133"/>
      <c r="V54" s="133"/>
      <c r="W54" s="133"/>
      <c r="X54" s="133"/>
      <c r="Y54" s="133"/>
      <c r="Z54" s="133"/>
      <c r="AA54" s="133"/>
      <c r="AB54" s="133"/>
      <c r="AC54" s="133"/>
      <c r="AD54" s="133"/>
      <c r="AE54" s="133"/>
    </row>
    <row r="55" spans="2:31" ht="25.15" customHeight="1">
      <c r="B55" s="44" t="s">
        <v>155</v>
      </c>
      <c r="C55" s="86">
        <v>88995.155341236066</v>
      </c>
      <c r="D55" s="86">
        <v>86281.295702289499</v>
      </c>
      <c r="E55" s="86">
        <v>82379.647315190756</v>
      </c>
      <c r="F55" s="86">
        <v>79368.630653058877</v>
      </c>
      <c r="G55" s="86">
        <v>86645.358192712607</v>
      </c>
      <c r="H55" s="86">
        <v>82812.428669231827</v>
      </c>
      <c r="I55" s="86">
        <v>82824.417061810265</v>
      </c>
      <c r="J55" s="86">
        <v>83089.544329638971</v>
      </c>
      <c r="K55" s="86">
        <v>82428.650561295421</v>
      </c>
      <c r="L55" s="86">
        <v>85459.234688197786</v>
      </c>
      <c r="M55" s="86">
        <v>68044.77037895679</v>
      </c>
      <c r="N55" s="86">
        <v>82466.676261822111</v>
      </c>
      <c r="O55" s="86">
        <v>129208.97983992498</v>
      </c>
      <c r="P55" s="86">
        <v>134662.54819913846</v>
      </c>
      <c r="Q55" s="147" t="s">
        <v>306</v>
      </c>
      <c r="R55" s="133"/>
      <c r="S55" s="133"/>
      <c r="T55" s="133"/>
      <c r="U55" s="133"/>
      <c r="V55" s="133"/>
      <c r="W55" s="133"/>
      <c r="X55" s="133"/>
      <c r="Y55" s="133"/>
      <c r="Z55" s="133"/>
      <c r="AA55" s="133"/>
      <c r="AB55" s="133"/>
      <c r="AC55" s="133"/>
      <c r="AD55" s="133"/>
      <c r="AE55" s="133"/>
    </row>
    <row r="56" spans="2:31" ht="25.15" customHeight="1">
      <c r="B56" s="44" t="s">
        <v>15</v>
      </c>
      <c r="C56" s="86">
        <v>238328.11436351261</v>
      </c>
      <c r="D56" s="86">
        <v>276618.4436168414</v>
      </c>
      <c r="E56" s="86">
        <v>319951.19516240986</v>
      </c>
      <c r="F56" s="86">
        <v>342542.91690829967</v>
      </c>
      <c r="G56" s="86">
        <v>356679.58268559555</v>
      </c>
      <c r="H56" s="86">
        <v>366400.76815580396</v>
      </c>
      <c r="I56" s="86">
        <v>385504.77841984748</v>
      </c>
      <c r="J56" s="86">
        <v>384274.56799534243</v>
      </c>
      <c r="K56" s="86">
        <v>390736.95801308664</v>
      </c>
      <c r="L56" s="86">
        <v>393674.16303146223</v>
      </c>
      <c r="M56" s="86">
        <v>408826.05503234675</v>
      </c>
      <c r="N56" s="86">
        <v>425511.93461687525</v>
      </c>
      <c r="O56" s="86">
        <v>461508.42716358934</v>
      </c>
      <c r="P56" s="86">
        <v>493259.08805006865</v>
      </c>
      <c r="Q56" s="32" t="s">
        <v>101</v>
      </c>
      <c r="R56" s="133"/>
      <c r="S56" s="133"/>
      <c r="T56" s="133"/>
      <c r="U56" s="133"/>
      <c r="V56" s="133"/>
      <c r="W56" s="133"/>
      <c r="X56" s="133"/>
      <c r="Y56" s="133"/>
      <c r="Z56" s="133"/>
      <c r="AA56" s="133"/>
      <c r="AB56" s="133"/>
      <c r="AC56" s="133"/>
      <c r="AD56" s="133"/>
      <c r="AE56" s="133"/>
    </row>
    <row r="57" spans="2:31" ht="25.15" customHeight="1">
      <c r="B57" s="44" t="s">
        <v>41</v>
      </c>
      <c r="C57" s="86">
        <v>178610.75561606535</v>
      </c>
      <c r="D57" s="86">
        <v>212560.25787631609</v>
      </c>
      <c r="E57" s="86">
        <v>230764.45323574494</v>
      </c>
      <c r="F57" s="86">
        <v>249285.9848979869</v>
      </c>
      <c r="G57" s="86">
        <v>273332.94006185431</v>
      </c>
      <c r="H57" s="86">
        <v>258206.73539874182</v>
      </c>
      <c r="I57" s="86">
        <v>261586.66156695166</v>
      </c>
      <c r="J57" s="86">
        <v>270461.57717633626</v>
      </c>
      <c r="K57" s="86">
        <v>273153.65328740556</v>
      </c>
      <c r="L57" s="86">
        <v>288683.09850109817</v>
      </c>
      <c r="M57" s="86">
        <v>303538.4927057235</v>
      </c>
      <c r="N57" s="86">
        <v>327992.85105751519</v>
      </c>
      <c r="O57" s="86">
        <v>412919.48645980062</v>
      </c>
      <c r="P57" s="86">
        <v>464882.50619624835</v>
      </c>
      <c r="Q57" s="32" t="s">
        <v>42</v>
      </c>
      <c r="R57" s="133"/>
      <c r="S57" s="133"/>
      <c r="T57" s="133"/>
      <c r="U57" s="133"/>
      <c r="V57" s="133"/>
      <c r="W57" s="133"/>
      <c r="X57" s="133"/>
      <c r="Y57" s="133"/>
      <c r="Z57" s="133"/>
      <c r="AA57" s="133"/>
      <c r="AB57" s="133"/>
      <c r="AC57" s="133"/>
      <c r="AD57" s="133"/>
      <c r="AE57" s="133"/>
    </row>
    <row r="58" spans="2:31" ht="25.15" customHeight="1" thickBot="1">
      <c r="B58" s="142" t="s">
        <v>16</v>
      </c>
      <c r="C58" s="143">
        <v>300189.05269402848</v>
      </c>
      <c r="D58" s="143">
        <v>318849.16987989581</v>
      </c>
      <c r="E58" s="143">
        <v>324666.51172929106</v>
      </c>
      <c r="F58" s="143">
        <v>341080.22090717044</v>
      </c>
      <c r="G58" s="143">
        <v>355288.57184609206</v>
      </c>
      <c r="H58" s="143">
        <v>379401.20028393413</v>
      </c>
      <c r="I58" s="143">
        <v>400501.56296196388</v>
      </c>
      <c r="J58" s="143">
        <v>403445.524647035</v>
      </c>
      <c r="K58" s="143">
        <v>408746.45139930549</v>
      </c>
      <c r="L58" s="143">
        <v>413276.78508633497</v>
      </c>
      <c r="M58" s="143">
        <v>392790.43814161199</v>
      </c>
      <c r="N58" s="143">
        <v>409895.50056138646</v>
      </c>
      <c r="O58" s="143">
        <v>440677.41080224083</v>
      </c>
      <c r="P58" s="143">
        <v>456624.2330672887</v>
      </c>
      <c r="Q58" s="144" t="s">
        <v>20</v>
      </c>
      <c r="R58" s="133"/>
      <c r="S58" s="133"/>
      <c r="T58" s="133"/>
      <c r="U58" s="133"/>
      <c r="V58" s="133"/>
      <c r="W58" s="133"/>
      <c r="X58" s="133"/>
      <c r="Y58" s="133"/>
      <c r="Z58" s="133"/>
      <c r="AA58" s="133"/>
      <c r="AB58" s="133"/>
      <c r="AC58" s="133"/>
      <c r="AD58" s="133"/>
      <c r="AE58" s="133"/>
    </row>
    <row r="59" spans="2:31" ht="24.95" customHeight="1">
      <c r="B59" s="482" t="s">
        <v>326</v>
      </c>
      <c r="C59" s="495"/>
      <c r="D59" s="495"/>
      <c r="E59" s="495"/>
      <c r="F59" s="495"/>
      <c r="G59" s="495"/>
      <c r="H59" s="495"/>
      <c r="I59" s="495"/>
      <c r="J59" s="495"/>
      <c r="K59" s="495"/>
      <c r="L59" s="495"/>
      <c r="M59" s="495"/>
      <c r="N59" s="495"/>
      <c r="O59" s="495"/>
      <c r="P59" s="495"/>
      <c r="Q59" s="313" t="s">
        <v>327</v>
      </c>
      <c r="R59" s="133"/>
      <c r="S59" s="133"/>
      <c r="T59" s="133"/>
      <c r="U59" s="133"/>
      <c r="V59" s="133"/>
      <c r="W59" s="133"/>
      <c r="X59" s="133"/>
      <c r="Y59" s="133"/>
      <c r="Z59" s="133"/>
      <c r="AA59" s="133"/>
      <c r="AB59" s="133"/>
    </row>
    <row r="60" spans="2:31" ht="24.95" customHeight="1">
      <c r="B60" s="343" t="s">
        <v>399</v>
      </c>
      <c r="C60" s="496"/>
      <c r="D60" s="496"/>
      <c r="E60" s="496"/>
      <c r="F60" s="496"/>
      <c r="G60" s="496"/>
      <c r="H60" s="496"/>
      <c r="I60" s="496"/>
      <c r="J60" s="496"/>
      <c r="K60" s="496"/>
      <c r="L60" s="496"/>
      <c r="M60" s="496"/>
      <c r="N60" s="496"/>
      <c r="O60" s="496"/>
      <c r="P60" s="496"/>
      <c r="Q60" s="313" t="s">
        <v>193</v>
      </c>
    </row>
    <row r="61" spans="2:31" ht="24.95" customHeight="1">
      <c r="B61" s="505" t="s">
        <v>192</v>
      </c>
      <c r="C61" s="496"/>
      <c r="D61" s="496"/>
      <c r="E61" s="496"/>
      <c r="F61" s="496"/>
      <c r="G61" s="496"/>
      <c r="H61" s="496"/>
      <c r="I61" s="496"/>
      <c r="J61" s="496"/>
      <c r="K61" s="338"/>
      <c r="L61" s="496"/>
      <c r="M61" s="496"/>
      <c r="N61" s="496"/>
      <c r="O61" s="496"/>
      <c r="P61" s="496"/>
      <c r="Q61" s="81" t="s">
        <v>551</v>
      </c>
    </row>
    <row r="62" spans="2:31" ht="24.95" customHeight="1"/>
  </sheetData>
  <mergeCells count="14">
    <mergeCell ref="B33:Q33"/>
    <mergeCell ref="B48:Q48"/>
    <mergeCell ref="B49:Q49"/>
    <mergeCell ref="B44:C44"/>
    <mergeCell ref="B45:C45"/>
    <mergeCell ref="B43:F43"/>
    <mergeCell ref="B32:Q32"/>
    <mergeCell ref="B28:C28"/>
    <mergeCell ref="B29:C29"/>
    <mergeCell ref="B1:Q1"/>
    <mergeCell ref="B2:Q2"/>
    <mergeCell ref="B3:Q3"/>
    <mergeCell ref="B17:Q17"/>
    <mergeCell ref="B18:Q18"/>
  </mergeCells>
  <conditionalFormatting sqref="R21:AE31">
    <cfRule type="containsText" dxfId="22" priority="3" operator="containsText" text="true">
      <formula>NOT(ISERROR(SEARCH("true",R21)))</formula>
    </cfRule>
  </conditionalFormatting>
  <conditionalFormatting sqref="R36:AD43">
    <cfRule type="containsText" dxfId="21" priority="2" operator="containsText" text="true">
      <formula>NOT(ISERROR(SEARCH("true",R36)))</formula>
    </cfRule>
  </conditionalFormatting>
  <conditionalFormatting sqref="R52:AE58">
    <cfRule type="containsText" dxfId="20" priority="1" operator="containsText" text="true">
      <formula>NOT(ISERROR(SEARCH("true",R52)))</formula>
    </cfRule>
  </conditionalFormatting>
  <printOptions horizontalCentered="1" verticalCentered="1"/>
  <pageMargins left="0" right="0" top="0" bottom="0" header="0" footer="0"/>
  <pageSetup scale="35" fitToHeight="0" orientation="landscape" horizontalDpi="300" verticalDpi="300" r:id="rId1"/>
  <headerFooter alignWithMargins="0"/>
  <rowBreaks count="3" manualBreakCount="3">
    <brk id="15" max="32" man="1"/>
    <brk id="30" max="32" man="1"/>
    <brk id="46" max="3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B1:S225"/>
  <sheetViews>
    <sheetView showGridLines="0" rightToLeft="1" zoomScaleNormal="100" zoomScaleSheetLayoutView="70" workbookViewId="0"/>
  </sheetViews>
  <sheetFormatPr defaultColWidth="9.28515625" defaultRowHeight="25.15" customHeight="1"/>
  <cols>
    <col min="1" max="1" width="15.7109375" style="2" customWidth="1"/>
    <col min="2" max="2" width="5.7109375" style="2" customWidth="1"/>
    <col min="3" max="3" width="33.7109375" style="2" customWidth="1"/>
    <col min="4" max="17" width="10.7109375" style="2" customWidth="1"/>
    <col min="18" max="18" width="41" style="22" customWidth="1"/>
    <col min="19" max="19" width="15.5703125" style="2" customWidth="1"/>
    <col min="20" max="16384" width="9.28515625" style="2"/>
  </cols>
  <sheetData>
    <row r="1" spans="2:19" ht="50.1" customHeight="1"/>
    <row r="2" spans="2:19" ht="25.15" customHeight="1">
      <c r="B2" s="507" t="s">
        <v>406</v>
      </c>
      <c r="C2" s="507"/>
      <c r="D2" s="507"/>
      <c r="E2" s="507"/>
      <c r="F2" s="507"/>
      <c r="G2" s="507"/>
      <c r="H2" s="507"/>
      <c r="I2" s="507"/>
      <c r="J2" s="507"/>
      <c r="K2" s="507"/>
      <c r="L2" s="507"/>
      <c r="M2" s="507"/>
      <c r="N2" s="507"/>
      <c r="O2" s="507"/>
      <c r="P2" s="507"/>
      <c r="Q2" s="507"/>
      <c r="R2" s="507"/>
    </row>
    <row r="3" spans="2:19" ht="25.15" customHeight="1">
      <c r="B3" s="529" t="s">
        <v>407</v>
      </c>
      <c r="C3" s="529"/>
      <c r="D3" s="529"/>
      <c r="E3" s="529"/>
      <c r="F3" s="529"/>
      <c r="G3" s="529"/>
      <c r="H3" s="529"/>
      <c r="I3" s="529"/>
      <c r="J3" s="529"/>
      <c r="K3" s="529"/>
      <c r="L3" s="529"/>
      <c r="M3" s="529"/>
      <c r="N3" s="529"/>
      <c r="O3" s="529"/>
      <c r="P3" s="529"/>
      <c r="Q3" s="529"/>
      <c r="R3" s="529"/>
    </row>
    <row r="4" spans="2:19" ht="25.15" customHeight="1">
      <c r="B4" s="179"/>
      <c r="C4" s="179"/>
      <c r="D4" s="179"/>
      <c r="E4" s="179"/>
      <c r="F4" s="179"/>
      <c r="G4" s="179"/>
      <c r="H4" s="179"/>
      <c r="I4" s="179"/>
      <c r="J4" s="179"/>
      <c r="K4" s="179"/>
      <c r="L4" s="179"/>
      <c r="M4" s="179"/>
      <c r="N4" s="179"/>
      <c r="O4" s="179"/>
      <c r="P4" s="179"/>
      <c r="Q4" s="179"/>
      <c r="R4" s="64" t="s">
        <v>369</v>
      </c>
    </row>
    <row r="5" spans="2:19" ht="25.15" customHeight="1">
      <c r="B5" s="49" t="s">
        <v>67</v>
      </c>
      <c r="C5" s="183" t="s">
        <v>117</v>
      </c>
      <c r="D5" s="49">
        <v>2010</v>
      </c>
      <c r="E5" s="49">
        <v>2011</v>
      </c>
      <c r="F5" s="49">
        <v>2012</v>
      </c>
      <c r="G5" s="49">
        <v>2013</v>
      </c>
      <c r="H5" s="49">
        <v>2014</v>
      </c>
      <c r="I5" s="49">
        <v>2015</v>
      </c>
      <c r="J5" s="49">
        <v>2016</v>
      </c>
      <c r="K5" s="49">
        <v>2017</v>
      </c>
      <c r="L5" s="49">
        <v>2018</v>
      </c>
      <c r="M5" s="49">
        <v>2019</v>
      </c>
      <c r="N5" s="49">
        <v>2020</v>
      </c>
      <c r="O5" s="49">
        <v>2021</v>
      </c>
      <c r="P5" s="49" t="s">
        <v>185</v>
      </c>
      <c r="Q5" s="49" t="s">
        <v>186</v>
      </c>
      <c r="R5" s="49" t="s">
        <v>118</v>
      </c>
    </row>
    <row r="6" spans="2:19" ht="25.15" customHeight="1">
      <c r="B6" s="68"/>
      <c r="C6" s="36" t="s">
        <v>102</v>
      </c>
      <c r="D6" s="104">
        <f>SUM(D7:D15,D17:D18,D20:D22)</f>
        <v>1675045.0817833182</v>
      </c>
      <c r="E6" s="104">
        <f t="shared" ref="E6:Q6" si="0">SUM(E7:E15,E17:E18,E20:E22)</f>
        <v>2033885.6561366562</v>
      </c>
      <c r="F6" s="104">
        <f t="shared" si="0"/>
        <v>2131521.5583536541</v>
      </c>
      <c r="G6" s="104">
        <f t="shared" si="0"/>
        <v>2147554.9719043188</v>
      </c>
      <c r="H6" s="104">
        <f t="shared" si="0"/>
        <v>2226238.2702548793</v>
      </c>
      <c r="I6" s="104">
        <f t="shared" si="0"/>
        <v>2059471.7436586935</v>
      </c>
      <c r="J6" s="104">
        <f t="shared" si="0"/>
        <v>2060474.7155596253</v>
      </c>
      <c r="K6" s="104">
        <f t="shared" si="0"/>
        <v>2191905.7813396412</v>
      </c>
      <c r="L6" s="104">
        <f t="shared" si="0"/>
        <v>2379370.7057540622</v>
      </c>
      <c r="M6" s="104">
        <f t="shared" si="0"/>
        <v>2347233.7103617289</v>
      </c>
      <c r="N6" s="104">
        <f t="shared" si="0"/>
        <v>2001532.6974752285</v>
      </c>
      <c r="O6" s="104">
        <f t="shared" si="0"/>
        <v>2413664.6502763433</v>
      </c>
      <c r="P6" s="104">
        <f t="shared" si="0"/>
        <v>2938283.2050839323</v>
      </c>
      <c r="Q6" s="104">
        <f t="shared" si="0"/>
        <v>3028991.2444531173</v>
      </c>
      <c r="R6" s="186" t="s">
        <v>44</v>
      </c>
      <c r="S6" s="138"/>
    </row>
    <row r="7" spans="2:19" ht="25.15" customHeight="1">
      <c r="B7" s="121" t="s">
        <v>68</v>
      </c>
      <c r="C7" s="184" t="s">
        <v>45</v>
      </c>
      <c r="D7" s="277">
        <v>14207.309909798692</v>
      </c>
      <c r="E7" s="277">
        <v>15212.68485383087</v>
      </c>
      <c r="F7" s="277">
        <v>15737.335894804119</v>
      </c>
      <c r="G7" s="277">
        <v>16654.199392378534</v>
      </c>
      <c r="H7" s="277">
        <v>17234.854025554592</v>
      </c>
      <c r="I7" s="277">
        <v>17920.81947586629</v>
      </c>
      <c r="J7" s="277">
        <v>18417.31928686551</v>
      </c>
      <c r="K7" s="277">
        <v>19326.922588720605</v>
      </c>
      <c r="L7" s="277">
        <v>19709.106737313232</v>
      </c>
      <c r="M7" s="277">
        <v>20454.600434780688</v>
      </c>
      <c r="N7" s="277">
        <v>21771.678281093293</v>
      </c>
      <c r="O7" s="277">
        <v>25906.554483693304</v>
      </c>
      <c r="P7" s="277">
        <v>23182.544503420861</v>
      </c>
      <c r="Q7" s="253">
        <v>23795.88890707352</v>
      </c>
      <c r="R7" s="37" t="s">
        <v>123</v>
      </c>
      <c r="S7" s="138"/>
    </row>
    <row r="8" spans="2:19" ht="25.15" customHeight="1">
      <c r="B8" s="121" t="s">
        <v>69</v>
      </c>
      <c r="C8" s="184" t="s">
        <v>46</v>
      </c>
      <c r="D8" s="277">
        <v>343129.54102731985</v>
      </c>
      <c r="E8" s="277">
        <v>515538.2415374227</v>
      </c>
      <c r="F8" s="277">
        <v>552012.04086545249</v>
      </c>
      <c r="G8" s="277">
        <v>549533.417884378</v>
      </c>
      <c r="H8" s="277">
        <v>529473.96295376983</v>
      </c>
      <c r="I8" s="277">
        <v>318287.58253144153</v>
      </c>
      <c r="J8" s="277">
        <v>283086.10000364447</v>
      </c>
      <c r="K8" s="277">
        <v>346308.98268759256</v>
      </c>
      <c r="L8" s="277">
        <v>446771.25774463936</v>
      </c>
      <c r="M8" s="277">
        <v>385053.01829220913</v>
      </c>
      <c r="N8" s="277">
        <v>251713.08853115526</v>
      </c>
      <c r="O8" s="277">
        <v>411821.81903304096</v>
      </c>
      <c r="P8" s="277">
        <v>612266.38661119982</v>
      </c>
      <c r="Q8" s="253">
        <v>516735.40193668409</v>
      </c>
      <c r="R8" s="37" t="s">
        <v>124</v>
      </c>
      <c r="S8" s="138"/>
    </row>
    <row r="9" spans="2:19" ht="25.15" customHeight="1">
      <c r="B9" s="121" t="s">
        <v>70</v>
      </c>
      <c r="C9" s="184" t="s">
        <v>13</v>
      </c>
      <c r="D9" s="277">
        <v>321426.86899354454</v>
      </c>
      <c r="E9" s="277">
        <v>382119.47130593914</v>
      </c>
      <c r="F9" s="277">
        <v>401967.84707010677</v>
      </c>
      <c r="G9" s="277">
        <v>407041.76961459662</v>
      </c>
      <c r="H9" s="277">
        <v>415881.459128435</v>
      </c>
      <c r="I9" s="277">
        <v>394626.80013778911</v>
      </c>
      <c r="J9" s="277">
        <v>398178.58861593227</v>
      </c>
      <c r="K9" s="277">
        <v>431413.25405147951</v>
      </c>
      <c r="L9" s="277">
        <v>476627.77531799005</v>
      </c>
      <c r="M9" s="277">
        <v>472376.06778460916</v>
      </c>
      <c r="N9" s="277">
        <v>446455.92487253743</v>
      </c>
      <c r="O9" s="277">
        <v>558255.12313127844</v>
      </c>
      <c r="P9" s="277">
        <v>672118.77304948028</v>
      </c>
      <c r="Q9" s="253">
        <v>723883.44647627184</v>
      </c>
      <c r="R9" s="37" t="s">
        <v>47</v>
      </c>
      <c r="S9" s="138"/>
    </row>
    <row r="10" spans="2:19" ht="25.15" customHeight="1">
      <c r="B10" s="121" t="s">
        <v>71</v>
      </c>
      <c r="C10" s="184" t="s">
        <v>48</v>
      </c>
      <c r="D10" s="277">
        <v>47396.709579597155</v>
      </c>
      <c r="E10" s="277">
        <v>53810.040637346006</v>
      </c>
      <c r="F10" s="277">
        <v>55204.452419618741</v>
      </c>
      <c r="G10" s="277">
        <v>57493.743144021952</v>
      </c>
      <c r="H10" s="277">
        <v>62005.764955505467</v>
      </c>
      <c r="I10" s="277">
        <v>72318.565463457679</v>
      </c>
      <c r="J10" s="277">
        <v>73873.251404236667</v>
      </c>
      <c r="K10" s="277">
        <v>82306.476669969707</v>
      </c>
      <c r="L10" s="277">
        <v>85686.371161877309</v>
      </c>
      <c r="M10" s="277">
        <v>89691.4134593653</v>
      </c>
      <c r="N10" s="277">
        <v>92981.40854703878</v>
      </c>
      <c r="O10" s="277">
        <v>106456.54501358295</v>
      </c>
      <c r="P10" s="277">
        <v>117726.58494600844</v>
      </c>
      <c r="Q10" s="253">
        <v>127037.28758033986</v>
      </c>
      <c r="R10" s="37" t="s">
        <v>125</v>
      </c>
      <c r="S10" s="138"/>
    </row>
    <row r="11" spans="2:19" ht="25.15" customHeight="1">
      <c r="B11" s="121" t="s">
        <v>72</v>
      </c>
      <c r="C11" s="184" t="s">
        <v>14</v>
      </c>
      <c r="D11" s="277">
        <v>282954.02075882425</v>
      </c>
      <c r="E11" s="277">
        <v>296531.34555348498</v>
      </c>
      <c r="F11" s="277">
        <v>284439.7330913039</v>
      </c>
      <c r="G11" s="277">
        <v>279012.60744217469</v>
      </c>
      <c r="H11" s="277">
        <v>300741.06917990005</v>
      </c>
      <c r="I11" s="277">
        <v>312238.70260244852</v>
      </c>
      <c r="J11" s="277">
        <v>309063.83309740748</v>
      </c>
      <c r="K11" s="277">
        <v>314727.697748259</v>
      </c>
      <c r="L11" s="277">
        <v>330432.58861418406</v>
      </c>
      <c r="M11" s="277">
        <v>335635.70966840355</v>
      </c>
      <c r="N11" s="277">
        <v>299492.34784225642</v>
      </c>
      <c r="O11" s="277">
        <v>308480.61234938708</v>
      </c>
      <c r="P11" s="277">
        <v>338821.95609240979</v>
      </c>
      <c r="Q11" s="253">
        <v>369742.70358194277</v>
      </c>
      <c r="R11" s="37" t="s">
        <v>49</v>
      </c>
      <c r="S11" s="138"/>
    </row>
    <row r="12" spans="2:19" ht="25.15" customHeight="1">
      <c r="B12" s="121" t="s">
        <v>73</v>
      </c>
      <c r="C12" s="184" t="s">
        <v>50</v>
      </c>
      <c r="D12" s="277">
        <v>219357.734303523</v>
      </c>
      <c r="E12" s="277">
        <v>235282.20926508596</v>
      </c>
      <c r="F12" s="277">
        <v>241647.05831983636</v>
      </c>
      <c r="G12" s="277">
        <v>267134.54768093297</v>
      </c>
      <c r="H12" s="277">
        <v>273558.89037359238</v>
      </c>
      <c r="I12" s="277">
        <v>283234.13100033952</v>
      </c>
      <c r="J12" s="277">
        <v>300085.04248002323</v>
      </c>
      <c r="K12" s="277">
        <v>306296.36290096858</v>
      </c>
      <c r="L12" s="277">
        <v>312022.56373556308</v>
      </c>
      <c r="M12" s="277">
        <v>319281.55950097402</v>
      </c>
      <c r="N12" s="277">
        <v>286597.88177583984</v>
      </c>
      <c r="O12" s="277">
        <v>314133.15908589913</v>
      </c>
      <c r="P12" s="277">
        <v>337271.63350769709</v>
      </c>
      <c r="Q12" s="253">
        <v>351886.44580510817</v>
      </c>
      <c r="R12" s="37" t="s">
        <v>126</v>
      </c>
      <c r="S12" s="138"/>
    </row>
    <row r="13" spans="2:19" ht="25.15" customHeight="1">
      <c r="B13" s="121" t="s">
        <v>74</v>
      </c>
      <c r="C13" s="184" t="s">
        <v>51</v>
      </c>
      <c r="D13" s="277">
        <v>133264.09904100711</v>
      </c>
      <c r="E13" s="277">
        <v>200936.46510075891</v>
      </c>
      <c r="F13" s="277">
        <v>214399.40542893374</v>
      </c>
      <c r="G13" s="277">
        <v>194833.89996939438</v>
      </c>
      <c r="H13" s="277">
        <v>207617.10953840823</v>
      </c>
      <c r="I13" s="277">
        <v>211468.29419644122</v>
      </c>
      <c r="J13" s="277">
        <v>211874.23343330991</v>
      </c>
      <c r="K13" s="277">
        <v>214263.17267889169</v>
      </c>
      <c r="L13" s="277">
        <v>223527.31145898509</v>
      </c>
      <c r="M13" s="277">
        <v>222776.35422699965</v>
      </c>
      <c r="N13" s="277">
        <v>146401.67619517219</v>
      </c>
      <c r="O13" s="277">
        <v>177186.0557383374</v>
      </c>
      <c r="P13" s="277">
        <v>259303.78775075378</v>
      </c>
      <c r="Q13" s="253">
        <v>303616.32230896596</v>
      </c>
      <c r="R13" s="37" t="s">
        <v>127</v>
      </c>
      <c r="S13" s="138"/>
    </row>
    <row r="14" spans="2:19" ht="25.15" customHeight="1">
      <c r="B14" s="121" t="s">
        <v>75</v>
      </c>
      <c r="C14" s="184" t="s">
        <v>52</v>
      </c>
      <c r="D14" s="277">
        <v>44437.57685856754</v>
      </c>
      <c r="E14" s="277">
        <v>52270.772814491924</v>
      </c>
      <c r="F14" s="277">
        <v>57404.526344200975</v>
      </c>
      <c r="G14" s="277">
        <v>62191.398982332677</v>
      </c>
      <c r="H14" s="277">
        <v>70171.39961734938</v>
      </c>
      <c r="I14" s="277">
        <v>72005.831143215561</v>
      </c>
      <c r="J14" s="277">
        <v>74145.979129035957</v>
      </c>
      <c r="K14" s="277">
        <v>74893.548551163389</v>
      </c>
      <c r="L14" s="277">
        <v>75233.516812035101</v>
      </c>
      <c r="M14" s="277">
        <v>76914.100683446231</v>
      </c>
      <c r="N14" s="277">
        <v>55631.833774527258</v>
      </c>
      <c r="O14" s="277">
        <v>75577.665463671874</v>
      </c>
      <c r="P14" s="277">
        <v>95011.785563247453</v>
      </c>
      <c r="Q14" s="253">
        <v>102643.976246538</v>
      </c>
      <c r="R14" s="37" t="s">
        <v>128</v>
      </c>
      <c r="S14" s="138"/>
    </row>
    <row r="15" spans="2:19" ht="25.15" customHeight="1">
      <c r="B15" s="121" t="s">
        <v>76</v>
      </c>
      <c r="C15" s="184" t="s">
        <v>53</v>
      </c>
      <c r="D15" s="277">
        <v>50986.780692619381</v>
      </c>
      <c r="E15" s="277">
        <v>56976.491680444698</v>
      </c>
      <c r="F15" s="277">
        <v>59653.388566647671</v>
      </c>
      <c r="G15" s="277">
        <v>57010.779903743634</v>
      </c>
      <c r="H15" s="277">
        <v>62890.575943849246</v>
      </c>
      <c r="I15" s="277">
        <v>67084.727059500568</v>
      </c>
      <c r="J15" s="277">
        <v>69165.386546987851</v>
      </c>
      <c r="K15" s="277">
        <v>72501.697435824201</v>
      </c>
      <c r="L15" s="277">
        <v>76442.153741295784</v>
      </c>
      <c r="M15" s="277">
        <v>78500.951539169575</v>
      </c>
      <c r="N15" s="277">
        <v>78081.980744373112</v>
      </c>
      <c r="O15" s="277">
        <v>84200.111977756198</v>
      </c>
      <c r="P15" s="277">
        <v>92453.683696792199</v>
      </c>
      <c r="Q15" s="253">
        <v>96677.446732670578</v>
      </c>
      <c r="R15" s="37" t="s">
        <v>129</v>
      </c>
      <c r="S15" s="138"/>
    </row>
    <row r="16" spans="2:19" ht="25.15" customHeight="1">
      <c r="B16" s="121" t="s">
        <v>77</v>
      </c>
      <c r="C16" s="185" t="s">
        <v>54</v>
      </c>
      <c r="D16" s="278">
        <v>91902.661261515212</v>
      </c>
      <c r="E16" s="278">
        <v>97323.866531081629</v>
      </c>
      <c r="F16" s="278">
        <v>104352.74921541552</v>
      </c>
      <c r="G16" s="278">
        <v>124490.6791875831</v>
      </c>
      <c r="H16" s="278">
        <v>138997.54892840213</v>
      </c>
      <c r="I16" s="278">
        <v>150894.29164793299</v>
      </c>
      <c r="J16" s="278">
        <v>156079.1519909912</v>
      </c>
      <c r="K16" s="278">
        <v>157215.55033607018</v>
      </c>
      <c r="L16" s="278">
        <v>156049.85059217302</v>
      </c>
      <c r="M16" s="278">
        <v>160779.21749981862</v>
      </c>
      <c r="N16" s="278">
        <v>138116.04910406319</v>
      </c>
      <c r="O16" s="278">
        <v>144238.91471713714</v>
      </c>
      <c r="P16" s="278">
        <v>163079.11093939887</v>
      </c>
      <c r="Q16" s="279">
        <v>191761.23133602325</v>
      </c>
      <c r="R16" s="186" t="s">
        <v>55</v>
      </c>
      <c r="S16" s="138"/>
    </row>
    <row r="17" spans="2:19" ht="25.15" customHeight="1">
      <c r="B17" s="121" t="s">
        <v>78</v>
      </c>
      <c r="C17" s="184" t="s">
        <v>56</v>
      </c>
      <c r="D17" s="277">
        <v>76914.024885905979</v>
      </c>
      <c r="E17" s="277">
        <v>80517.879869861645</v>
      </c>
      <c r="F17" s="277">
        <v>91918.332105395501</v>
      </c>
      <c r="G17" s="277">
        <v>94468.01742276139</v>
      </c>
      <c r="H17" s="277">
        <v>107198.15123668408</v>
      </c>
      <c r="I17" s="277">
        <v>117917.50774689137</v>
      </c>
      <c r="J17" s="277">
        <v>124923.92779654845</v>
      </c>
      <c r="K17" s="277">
        <v>125625.43699209677</v>
      </c>
      <c r="L17" s="277">
        <v>117243.96333675161</v>
      </c>
      <c r="M17" s="277">
        <v>115897.64681254521</v>
      </c>
      <c r="N17" s="277">
        <v>101732.61778611864</v>
      </c>
      <c r="O17" s="277">
        <v>107222.32738805791</v>
      </c>
      <c r="P17" s="277">
        <v>122351.11367714436</v>
      </c>
      <c r="Q17" s="253">
        <v>136109.85077419248</v>
      </c>
      <c r="R17" s="37" t="s">
        <v>130</v>
      </c>
      <c r="S17" s="138"/>
    </row>
    <row r="18" spans="2:19" ht="25.15" customHeight="1">
      <c r="B18" s="121" t="s">
        <v>205</v>
      </c>
      <c r="C18" s="184" t="s">
        <v>188</v>
      </c>
      <c r="D18" s="277">
        <v>93070.57103559369</v>
      </c>
      <c r="E18" s="277">
        <v>89824.134014322583</v>
      </c>
      <c r="F18" s="277">
        <v>94588.655218117172</v>
      </c>
      <c r="G18" s="277">
        <v>95524.907856409583</v>
      </c>
      <c r="H18" s="277">
        <v>102836.68331930708</v>
      </c>
      <c r="I18" s="277">
        <v>112801.66774344187</v>
      </c>
      <c r="J18" s="277">
        <v>112327.048449008</v>
      </c>
      <c r="K18" s="277">
        <v>114231.56989656918</v>
      </c>
      <c r="L18" s="277">
        <v>121906.01806386407</v>
      </c>
      <c r="M18" s="277">
        <v>132745.25408256624</v>
      </c>
      <c r="N18" s="277">
        <v>117460.10634444212</v>
      </c>
      <c r="O18" s="277">
        <v>127725.02544621029</v>
      </c>
      <c r="P18" s="277">
        <v>141546.59708412504</v>
      </c>
      <c r="Q18" s="253">
        <v>143109.08573482116</v>
      </c>
      <c r="R18" s="37" t="s">
        <v>206</v>
      </c>
      <c r="S18" s="138"/>
    </row>
    <row r="19" spans="2:19" ht="25.15" customHeight="1">
      <c r="B19" s="121" t="s">
        <v>79</v>
      </c>
      <c r="C19" s="185" t="s">
        <v>57</v>
      </c>
      <c r="D19" s="278">
        <v>98877.279534716101</v>
      </c>
      <c r="E19" s="278">
        <v>118379.94137931342</v>
      </c>
      <c r="F19" s="278">
        <v>123991.4658387056</v>
      </c>
      <c r="G19" s="278">
        <v>130568.21789743067</v>
      </c>
      <c r="H19" s="278">
        <v>134848.3834090395</v>
      </c>
      <c r="I19" s="278">
        <v>140937.33917544357</v>
      </c>
      <c r="J19" s="278">
        <v>144646.02687394133</v>
      </c>
      <c r="K19" s="278">
        <v>162484.19952990243</v>
      </c>
      <c r="L19" s="278">
        <v>170386.93385786889</v>
      </c>
      <c r="M19" s="278">
        <v>166984.93064424014</v>
      </c>
      <c r="N19" s="278">
        <v>163933.67298060583</v>
      </c>
      <c r="O19" s="278">
        <v>174363.95520131776</v>
      </c>
      <c r="P19" s="278">
        <v>181639.4417582087</v>
      </c>
      <c r="Q19" s="253">
        <v>190746.94256767962</v>
      </c>
      <c r="R19" s="186" t="s">
        <v>131</v>
      </c>
      <c r="S19" s="138"/>
    </row>
    <row r="20" spans="2:19" ht="25.15" customHeight="1">
      <c r="B20" s="121" t="s">
        <v>80</v>
      </c>
      <c r="C20" s="184" t="s">
        <v>58</v>
      </c>
      <c r="D20" s="277">
        <v>21275.742122733889</v>
      </c>
      <c r="E20" s="277">
        <v>24657.778260303119</v>
      </c>
      <c r="F20" s="277">
        <v>26154.979526890369</v>
      </c>
      <c r="G20" s="277">
        <v>28197.76586410317</v>
      </c>
      <c r="H20" s="277">
        <v>31735.359924997105</v>
      </c>
      <c r="I20" s="277">
        <v>33163.251559912213</v>
      </c>
      <c r="J20" s="277">
        <v>35097.099080918371</v>
      </c>
      <c r="K20" s="277">
        <v>37440.626347372534</v>
      </c>
      <c r="L20" s="277">
        <v>38125.450598408599</v>
      </c>
      <c r="M20" s="277">
        <v>38019.360326198585</v>
      </c>
      <c r="N20" s="277">
        <v>37403.954376548958</v>
      </c>
      <c r="O20" s="277">
        <v>39506.90328684228</v>
      </c>
      <c r="P20" s="277">
        <v>43243.35931869944</v>
      </c>
      <c r="Q20" s="279">
        <v>45700.776853806674</v>
      </c>
      <c r="R20" s="37" t="s">
        <v>59</v>
      </c>
      <c r="S20" s="138"/>
    </row>
    <row r="21" spans="2:19" ht="25.15" customHeight="1">
      <c r="B21" s="121" t="s">
        <v>81</v>
      </c>
      <c r="C21" s="184" t="s">
        <v>60</v>
      </c>
      <c r="D21" s="277">
        <v>14979.482192122296</v>
      </c>
      <c r="E21" s="277">
        <v>17256.203768758911</v>
      </c>
      <c r="F21" s="277">
        <v>21495.323123307724</v>
      </c>
      <c r="G21" s="277">
        <v>25204.562611250309</v>
      </c>
      <c r="H21" s="277">
        <v>29042.17959622922</v>
      </c>
      <c r="I21" s="277">
        <v>29757.625806445751</v>
      </c>
      <c r="J21" s="277">
        <v>32206.29552261332</v>
      </c>
      <c r="K21" s="277">
        <v>33684.992327445463</v>
      </c>
      <c r="L21" s="277">
        <v>35486.048841692726</v>
      </c>
      <c r="M21" s="277">
        <v>40041.383104473563</v>
      </c>
      <c r="N21" s="277">
        <v>48822.350306848173</v>
      </c>
      <c r="O21" s="277">
        <v>58665.764531324705</v>
      </c>
      <c r="P21" s="277">
        <v>62366.604877461323</v>
      </c>
      <c r="Q21" s="253">
        <v>66377.0583106759</v>
      </c>
      <c r="R21" s="37" t="s">
        <v>132</v>
      </c>
      <c r="S21" s="138"/>
    </row>
    <row r="22" spans="2:19" ht="25.15" customHeight="1">
      <c r="B22" s="121" t="s">
        <v>82</v>
      </c>
      <c r="C22" s="184" t="s">
        <v>61</v>
      </c>
      <c r="D22" s="277">
        <v>11644.620382160618</v>
      </c>
      <c r="E22" s="277">
        <v>12951.937474604645</v>
      </c>
      <c r="F22" s="277">
        <v>14898.480379038334</v>
      </c>
      <c r="G22" s="277">
        <v>13253.354135840487</v>
      </c>
      <c r="H22" s="277">
        <v>15850.810461297442</v>
      </c>
      <c r="I22" s="277">
        <v>16646.237191502518</v>
      </c>
      <c r="J22" s="277">
        <v>18030.610713093822</v>
      </c>
      <c r="K22" s="277">
        <v>18885.040463288016</v>
      </c>
      <c r="L22" s="277">
        <v>20156.579589462497</v>
      </c>
      <c r="M22" s="277">
        <v>19846.290445988576</v>
      </c>
      <c r="N22" s="277">
        <v>16985.848097277187</v>
      </c>
      <c r="O22" s="277">
        <v>18526.983347260801</v>
      </c>
      <c r="P22" s="277">
        <v>20618.39440549332</v>
      </c>
      <c r="Q22" s="253">
        <v>21675.553204026182</v>
      </c>
      <c r="R22" s="37" t="s">
        <v>133</v>
      </c>
      <c r="S22" s="138"/>
    </row>
    <row r="23" spans="2:19" ht="25.15" customHeight="1">
      <c r="B23" s="122" t="s">
        <v>83</v>
      </c>
      <c r="C23" s="188" t="s">
        <v>114</v>
      </c>
      <c r="D23" s="278">
        <v>4637.4780095990973</v>
      </c>
      <c r="E23" s="278">
        <v>5090.2985227509362</v>
      </c>
      <c r="F23" s="278">
        <v>5437.6905862035055</v>
      </c>
      <c r="G23" s="278">
        <v>6684.3916131643091</v>
      </c>
      <c r="H23" s="278">
        <v>7607.6628187400565</v>
      </c>
      <c r="I23" s="278">
        <v>8225.0801532298756</v>
      </c>
      <c r="J23" s="278">
        <v>8854.2923584608179</v>
      </c>
      <c r="K23" s="278">
        <v>9480.228075245288</v>
      </c>
      <c r="L23" s="278">
        <v>10144.907516283205</v>
      </c>
      <c r="M23" s="278">
        <v>10800.982667795603</v>
      </c>
      <c r="N23" s="278">
        <v>10619.575114443311</v>
      </c>
      <c r="O23" s="278">
        <v>10706.856243053455</v>
      </c>
      <c r="P23" s="278">
        <v>11396.288757616006</v>
      </c>
      <c r="Q23" s="253">
        <v>11616.569435400019</v>
      </c>
      <c r="R23" s="186" t="s">
        <v>134</v>
      </c>
      <c r="S23" s="138"/>
    </row>
    <row r="24" spans="2:19" ht="25.15" customHeight="1">
      <c r="B24" s="537" t="s">
        <v>0</v>
      </c>
      <c r="C24" s="537"/>
      <c r="D24" s="105">
        <f>SUM(D7:D23)</f>
        <v>1870462.5005891486</v>
      </c>
      <c r="E24" s="105">
        <f t="shared" ref="E24:Q24" si="1">SUM(E7:E23)</f>
        <v>2254679.7625698028</v>
      </c>
      <c r="F24" s="105">
        <f t="shared" si="1"/>
        <v>2365303.4639939792</v>
      </c>
      <c r="G24" s="105">
        <f t="shared" si="1"/>
        <v>2409298.2606024966</v>
      </c>
      <c r="H24" s="105">
        <f t="shared" si="1"/>
        <v>2507691.8654110609</v>
      </c>
      <c r="I24" s="105">
        <f t="shared" si="1"/>
        <v>2359528.4546352997</v>
      </c>
      <c r="J24" s="105">
        <f t="shared" si="1"/>
        <v>2370054.1867830195</v>
      </c>
      <c r="K24" s="105">
        <f t="shared" si="1"/>
        <v>2521085.759280859</v>
      </c>
      <c r="L24" s="105">
        <f t="shared" si="1"/>
        <v>2715952.3977203872</v>
      </c>
      <c r="M24" s="105">
        <f t="shared" si="1"/>
        <v>2685798.8411735832</v>
      </c>
      <c r="N24" s="105">
        <f t="shared" si="1"/>
        <v>2314201.9946743413</v>
      </c>
      <c r="O24" s="105">
        <f t="shared" si="1"/>
        <v>2742974.3764378512</v>
      </c>
      <c r="P24" s="105">
        <f t="shared" si="1"/>
        <v>3294398.0465391562</v>
      </c>
      <c r="Q24" s="105">
        <f t="shared" si="1"/>
        <v>3423115.9877922195</v>
      </c>
      <c r="R24" s="24" t="s">
        <v>19</v>
      </c>
      <c r="S24" s="176"/>
    </row>
    <row r="25" spans="2:19" ht="25.15" customHeight="1" thickBot="1">
      <c r="B25" s="540" t="s">
        <v>62</v>
      </c>
      <c r="C25" s="540"/>
      <c r="D25" s="92">
        <f>D24-D8</f>
        <v>1527332.9595618288</v>
      </c>
      <c r="E25" s="92">
        <f t="shared" ref="E25:Q25" si="2">E24-E8</f>
        <v>1739141.5210323802</v>
      </c>
      <c r="F25" s="92">
        <f t="shared" si="2"/>
        <v>1813291.4231285267</v>
      </c>
      <c r="G25" s="92">
        <f t="shared" si="2"/>
        <v>1859764.8427181186</v>
      </c>
      <c r="H25" s="92">
        <f t="shared" si="2"/>
        <v>1978217.902457291</v>
      </c>
      <c r="I25" s="92">
        <f t="shared" si="2"/>
        <v>2041240.8721038583</v>
      </c>
      <c r="J25" s="92">
        <f t="shared" si="2"/>
        <v>2086968.0867793751</v>
      </c>
      <c r="K25" s="92">
        <f t="shared" si="2"/>
        <v>2174776.7765932665</v>
      </c>
      <c r="L25" s="92">
        <f t="shared" si="2"/>
        <v>2269181.139975748</v>
      </c>
      <c r="M25" s="92">
        <f t="shared" si="2"/>
        <v>2300745.822881374</v>
      </c>
      <c r="N25" s="92">
        <f t="shared" si="2"/>
        <v>2062488.9061431861</v>
      </c>
      <c r="O25" s="92">
        <f t="shared" si="2"/>
        <v>2331152.5574048101</v>
      </c>
      <c r="P25" s="92">
        <f t="shared" si="2"/>
        <v>2682131.6599279563</v>
      </c>
      <c r="Q25" s="92">
        <f t="shared" si="2"/>
        <v>2906380.5858555352</v>
      </c>
      <c r="R25" s="67" t="s">
        <v>63</v>
      </c>
      <c r="S25" s="176"/>
    </row>
    <row r="26" spans="2:19" ht="24.95" customHeight="1">
      <c r="B26" s="534" t="s">
        <v>326</v>
      </c>
      <c r="C26" s="534"/>
      <c r="D26" s="31"/>
      <c r="E26" s="31"/>
      <c r="F26" s="31"/>
      <c r="G26" s="31"/>
      <c r="H26" s="31"/>
      <c r="I26" s="31"/>
      <c r="J26" s="31"/>
      <c r="K26" s="31"/>
      <c r="L26" s="31"/>
      <c r="M26" s="31"/>
      <c r="N26" s="31"/>
      <c r="O26" s="31"/>
      <c r="P26" s="31"/>
      <c r="Q26" s="31"/>
      <c r="R26" s="313" t="s">
        <v>327</v>
      </c>
    </row>
    <row r="27" spans="2:19" ht="24.95" customHeight="1">
      <c r="B27" s="535" t="s">
        <v>191</v>
      </c>
      <c r="C27" s="535"/>
      <c r="D27" s="11"/>
      <c r="E27" s="11"/>
      <c r="F27" s="11"/>
      <c r="G27" s="11"/>
      <c r="H27" s="11"/>
      <c r="I27" s="11"/>
      <c r="J27" s="11"/>
      <c r="K27" s="11"/>
      <c r="L27" s="11"/>
      <c r="M27" s="11"/>
      <c r="N27" s="11"/>
      <c r="O27" s="11"/>
      <c r="P27" s="11"/>
      <c r="Q27" s="11"/>
      <c r="R27" s="313" t="s">
        <v>193</v>
      </c>
    </row>
    <row r="28" spans="2:19" ht="24.95" customHeight="1">
      <c r="B28" s="81" t="s">
        <v>192</v>
      </c>
      <c r="C28" s="81"/>
      <c r="D28" s="78"/>
      <c r="E28" s="78"/>
      <c r="F28" s="78"/>
      <c r="G28" s="78"/>
      <c r="H28" s="78"/>
      <c r="I28" s="78"/>
      <c r="J28" s="78"/>
      <c r="K28" s="78"/>
      <c r="L28" s="78"/>
      <c r="M28" s="78"/>
      <c r="N28" s="78"/>
      <c r="O28" s="78"/>
      <c r="P28" s="78"/>
      <c r="Q28" s="78"/>
      <c r="R28" s="81" t="s">
        <v>551</v>
      </c>
    </row>
    <row r="29" spans="2:19" s="1" customFormat="1" ht="24.95" customHeight="1">
      <c r="C29" s="4"/>
      <c r="D29" s="4"/>
      <c r="E29" s="4"/>
      <c r="F29" s="4"/>
      <c r="G29" s="4"/>
      <c r="H29" s="4"/>
      <c r="I29" s="4"/>
      <c r="J29" s="4"/>
      <c r="K29" s="4"/>
      <c r="L29" s="4"/>
      <c r="M29" s="4"/>
      <c r="N29" s="4"/>
      <c r="O29" s="4"/>
      <c r="P29" s="4"/>
      <c r="Q29" s="4"/>
      <c r="R29" s="4"/>
    </row>
    <row r="30" spans="2:19" s="1" customFormat="1" ht="25.15" customHeight="1">
      <c r="C30" s="507" t="s">
        <v>408</v>
      </c>
      <c r="D30" s="507"/>
      <c r="E30" s="507"/>
      <c r="F30" s="507"/>
      <c r="G30" s="507"/>
      <c r="H30" s="507"/>
      <c r="I30" s="507"/>
      <c r="J30" s="507"/>
      <c r="K30" s="507"/>
      <c r="L30" s="507"/>
      <c r="M30" s="507"/>
      <c r="N30" s="507"/>
      <c r="O30" s="507"/>
      <c r="P30" s="507"/>
      <c r="Q30" s="507"/>
      <c r="R30" s="507"/>
    </row>
    <row r="31" spans="2:19" s="1" customFormat="1" ht="25.15" customHeight="1">
      <c r="C31" s="529" t="s">
        <v>409</v>
      </c>
      <c r="D31" s="529"/>
      <c r="E31" s="529"/>
      <c r="F31" s="529"/>
      <c r="G31" s="529"/>
      <c r="H31" s="529"/>
      <c r="I31" s="529"/>
      <c r="J31" s="529"/>
      <c r="K31" s="529"/>
      <c r="L31" s="529"/>
      <c r="M31" s="529"/>
      <c r="N31" s="529"/>
      <c r="O31" s="529"/>
      <c r="P31" s="529"/>
      <c r="Q31" s="529"/>
      <c r="R31" s="529"/>
    </row>
    <row r="32" spans="2:19" s="1" customFormat="1" ht="25.15" customHeight="1">
      <c r="C32" s="179"/>
      <c r="D32" s="179"/>
      <c r="E32" s="179"/>
      <c r="F32" s="179"/>
      <c r="G32" s="179"/>
      <c r="H32" s="179"/>
      <c r="I32" s="179"/>
      <c r="J32" s="179"/>
      <c r="K32" s="179"/>
      <c r="L32" s="179"/>
      <c r="M32" s="179"/>
      <c r="N32" s="179"/>
      <c r="O32" s="179"/>
      <c r="P32" s="179"/>
      <c r="Q32" s="179"/>
      <c r="R32" s="64" t="s">
        <v>369</v>
      </c>
    </row>
    <row r="33" spans="2:19" s="1" customFormat="1" ht="25.15" customHeight="1">
      <c r="B33" s="5" t="s">
        <v>67</v>
      </c>
      <c r="C33" s="183" t="s">
        <v>117</v>
      </c>
      <c r="D33" s="49">
        <v>2010</v>
      </c>
      <c r="E33" s="49">
        <v>2011</v>
      </c>
      <c r="F33" s="49">
        <v>2012</v>
      </c>
      <c r="G33" s="49">
        <v>2013</v>
      </c>
      <c r="H33" s="49">
        <v>2014</v>
      </c>
      <c r="I33" s="49">
        <v>2015</v>
      </c>
      <c r="J33" s="49">
        <v>2016</v>
      </c>
      <c r="K33" s="49">
        <v>2017</v>
      </c>
      <c r="L33" s="49">
        <v>2018</v>
      </c>
      <c r="M33" s="49">
        <v>2019</v>
      </c>
      <c r="N33" s="49">
        <v>2020</v>
      </c>
      <c r="O33" s="49">
        <v>2021</v>
      </c>
      <c r="P33" s="49" t="s">
        <v>185</v>
      </c>
      <c r="Q33" s="49" t="s">
        <v>186</v>
      </c>
      <c r="R33" s="49" t="s">
        <v>118</v>
      </c>
    </row>
    <row r="34" spans="2:19" s="1" customFormat="1" ht="25.15" customHeight="1">
      <c r="B34" s="65"/>
      <c r="C34" s="69" t="s">
        <v>102</v>
      </c>
      <c r="D34" s="107">
        <f>SUM(D35:D43,D45:D46,D48:D50)</f>
        <v>705325.95536978182</v>
      </c>
      <c r="E34" s="107">
        <f t="shared" ref="E34:Q34" si="3">SUM(E35:E43,E45:E46,E48:E50)</f>
        <v>848890.22382103652</v>
      </c>
      <c r="F34" s="107">
        <f t="shared" si="3"/>
        <v>873133.00420976174</v>
      </c>
      <c r="G34" s="107">
        <f t="shared" si="3"/>
        <v>857803.53642087197</v>
      </c>
      <c r="H34" s="107">
        <f t="shared" si="3"/>
        <v>906860.6573585904</v>
      </c>
      <c r="I34" s="107">
        <f t="shared" si="3"/>
        <v>914412.73981374421</v>
      </c>
      <c r="J34" s="107">
        <f t="shared" si="3"/>
        <v>931160.92434142344</v>
      </c>
      <c r="K34" s="107">
        <f t="shared" si="3"/>
        <v>998518.03133258421</v>
      </c>
      <c r="L34" s="107">
        <f t="shared" si="3"/>
        <v>1056055.5185428492</v>
      </c>
      <c r="M34" s="107">
        <f t="shared" si="3"/>
        <v>1061704.2975074153</v>
      </c>
      <c r="N34" s="107">
        <f t="shared" si="3"/>
        <v>948984.65674291295</v>
      </c>
      <c r="O34" s="107">
        <f t="shared" si="3"/>
        <v>1128368.4543800359</v>
      </c>
      <c r="P34" s="107">
        <f t="shared" si="3"/>
        <v>1350890.6604767663</v>
      </c>
      <c r="Q34" s="107">
        <f t="shared" si="3"/>
        <v>1429366.7753388474</v>
      </c>
      <c r="R34" s="23" t="s">
        <v>44</v>
      </c>
      <c r="S34" s="9"/>
    </row>
    <row r="35" spans="2:19" s="1" customFormat="1" ht="25.15" customHeight="1">
      <c r="B35" s="121" t="s">
        <v>68</v>
      </c>
      <c r="C35" s="184" t="s">
        <v>45</v>
      </c>
      <c r="D35" s="277">
        <v>6104.0602282639111</v>
      </c>
      <c r="E35" s="277">
        <v>6580.3179372587911</v>
      </c>
      <c r="F35" s="277">
        <v>6867.7482749994906</v>
      </c>
      <c r="G35" s="277">
        <v>7347.8139109511321</v>
      </c>
      <c r="H35" s="277">
        <v>7673.3287147063747</v>
      </c>
      <c r="I35" s="277">
        <v>8080.0678416496048</v>
      </c>
      <c r="J35" s="277">
        <v>8234.9410273314552</v>
      </c>
      <c r="K35" s="277">
        <v>8402.0010240676784</v>
      </c>
      <c r="L35" s="277">
        <v>8550.9390754805827</v>
      </c>
      <c r="M35" s="277">
        <v>8992.0659622676212</v>
      </c>
      <c r="N35" s="277">
        <v>9400.7227019325164</v>
      </c>
      <c r="O35" s="277">
        <v>11521.838556649727</v>
      </c>
      <c r="P35" s="277">
        <v>10196.767797898467</v>
      </c>
      <c r="Q35" s="253">
        <v>10556.095109442689</v>
      </c>
      <c r="R35" s="37" t="s">
        <v>123</v>
      </c>
    </row>
    <row r="36" spans="2:19" s="1" customFormat="1" ht="25.15" customHeight="1">
      <c r="B36" s="121" t="s">
        <v>69</v>
      </c>
      <c r="C36" s="184" t="s">
        <v>46</v>
      </c>
      <c r="D36" s="277">
        <v>15636.965139610693</v>
      </c>
      <c r="E36" s="277">
        <v>19444.827711744059</v>
      </c>
      <c r="F36" s="277">
        <v>20547.375755371992</v>
      </c>
      <c r="G36" s="277">
        <v>26753.896855344239</v>
      </c>
      <c r="H36" s="277">
        <v>29692.144770741463</v>
      </c>
      <c r="I36" s="277">
        <v>34417.042948606599</v>
      </c>
      <c r="J36" s="277">
        <v>32233.694873986009</v>
      </c>
      <c r="K36" s="277">
        <v>57379.32075276674</v>
      </c>
      <c r="L36" s="277">
        <v>44941.050250742584</v>
      </c>
      <c r="M36" s="277">
        <v>39222.868789278844</v>
      </c>
      <c r="N36" s="277">
        <v>29283.152248493017</v>
      </c>
      <c r="O36" s="277">
        <v>44779.266765238077</v>
      </c>
      <c r="P36" s="277">
        <v>64739.879259556532</v>
      </c>
      <c r="Q36" s="253">
        <v>55507.932076927973</v>
      </c>
      <c r="R36" s="37" t="s">
        <v>124</v>
      </c>
    </row>
    <row r="37" spans="2:19" s="1" customFormat="1" ht="25.15" customHeight="1">
      <c r="B37" s="121" t="s">
        <v>70</v>
      </c>
      <c r="C37" s="184" t="s">
        <v>13</v>
      </c>
      <c r="D37" s="277">
        <v>227990.06526191419</v>
      </c>
      <c r="E37" s="277">
        <v>274141.69340444129</v>
      </c>
      <c r="F37" s="277">
        <v>287768.26983568486</v>
      </c>
      <c r="G37" s="277">
        <v>290548.97821264889</v>
      </c>
      <c r="H37" s="277">
        <v>292463.90079074638</v>
      </c>
      <c r="I37" s="277">
        <v>269849.63827491947</v>
      </c>
      <c r="J37" s="277">
        <v>271689.80664161767</v>
      </c>
      <c r="K37" s="277">
        <v>296868.02674907167</v>
      </c>
      <c r="L37" s="277">
        <v>336641.12937600468</v>
      </c>
      <c r="M37" s="277">
        <v>336256.23400888138</v>
      </c>
      <c r="N37" s="277">
        <v>314367.13932059187</v>
      </c>
      <c r="O37" s="277">
        <v>405754.00558603945</v>
      </c>
      <c r="P37" s="277">
        <v>490799.97135100787</v>
      </c>
      <c r="Q37" s="253">
        <v>519099.30537199683</v>
      </c>
      <c r="R37" s="37" t="s">
        <v>47</v>
      </c>
    </row>
    <row r="38" spans="2:19" s="1" customFormat="1" ht="25.15" customHeight="1">
      <c r="B38" s="121" t="s">
        <v>71</v>
      </c>
      <c r="C38" s="184" t="s">
        <v>48</v>
      </c>
      <c r="D38" s="277">
        <v>20905.853844702207</v>
      </c>
      <c r="E38" s="277">
        <v>22699.420105845456</v>
      </c>
      <c r="F38" s="277">
        <v>20026.934781052958</v>
      </c>
      <c r="G38" s="277">
        <v>21256.10850395228</v>
      </c>
      <c r="H38" s="277">
        <v>22621.020985903364</v>
      </c>
      <c r="I38" s="277">
        <v>25117.714319670435</v>
      </c>
      <c r="J38" s="277">
        <v>24801.770235083743</v>
      </c>
      <c r="K38" s="277">
        <v>26770.789769475763</v>
      </c>
      <c r="L38" s="277">
        <v>27251.101428589769</v>
      </c>
      <c r="M38" s="277">
        <v>27868.438898561486</v>
      </c>
      <c r="N38" s="277">
        <v>31803.956458131761</v>
      </c>
      <c r="O38" s="277">
        <v>36019.932653695607</v>
      </c>
      <c r="P38" s="277">
        <v>41111.051464339253</v>
      </c>
      <c r="Q38" s="253">
        <v>43757.240699402362</v>
      </c>
      <c r="R38" s="37" t="s">
        <v>125</v>
      </c>
    </row>
    <row r="39" spans="2:19" s="1" customFormat="1" ht="25.15" customHeight="1">
      <c r="B39" s="121" t="s">
        <v>72</v>
      </c>
      <c r="C39" s="184" t="s">
        <v>14</v>
      </c>
      <c r="D39" s="277">
        <v>160648.02727388829</v>
      </c>
      <c r="E39" s="277">
        <v>175350.99233025761</v>
      </c>
      <c r="F39" s="277">
        <v>166268.54684688692</v>
      </c>
      <c r="G39" s="277">
        <v>157833.49949569374</v>
      </c>
      <c r="H39" s="277">
        <v>172664.60550986006</v>
      </c>
      <c r="I39" s="277">
        <v>178540.33811144167</v>
      </c>
      <c r="J39" s="277">
        <v>179092.06683160795</v>
      </c>
      <c r="K39" s="277">
        <v>183812.69769049279</v>
      </c>
      <c r="L39" s="277">
        <v>194836.38294248556</v>
      </c>
      <c r="M39" s="277">
        <v>195927.40218817189</v>
      </c>
      <c r="N39" s="277">
        <v>173910.13145565829</v>
      </c>
      <c r="O39" s="277">
        <v>179706.82502715295</v>
      </c>
      <c r="P39" s="277">
        <v>201139.96391034694</v>
      </c>
      <c r="Q39" s="253">
        <v>217943.27498281648</v>
      </c>
      <c r="R39" s="37" t="s">
        <v>49</v>
      </c>
    </row>
    <row r="40" spans="2:19" s="1" customFormat="1" ht="25.15" customHeight="1">
      <c r="B40" s="121" t="s">
        <v>73</v>
      </c>
      <c r="C40" s="184" t="s">
        <v>50</v>
      </c>
      <c r="D40" s="277">
        <v>71267.494440456067</v>
      </c>
      <c r="E40" s="277">
        <v>83932.471472682286</v>
      </c>
      <c r="F40" s="277">
        <v>83109.907108014595</v>
      </c>
      <c r="G40" s="277">
        <v>94391.502240766858</v>
      </c>
      <c r="H40" s="277">
        <v>95423.696665701835</v>
      </c>
      <c r="I40" s="277">
        <v>98186.568318931968</v>
      </c>
      <c r="J40" s="277">
        <v>105105.75427108863</v>
      </c>
      <c r="K40" s="277">
        <v>109295.00178012834</v>
      </c>
      <c r="L40" s="277">
        <v>112596.49361971754</v>
      </c>
      <c r="M40" s="277">
        <v>113544.51387904264</v>
      </c>
      <c r="N40" s="277">
        <v>111067.54009035276</v>
      </c>
      <c r="O40" s="277">
        <v>119609.14359613531</v>
      </c>
      <c r="P40" s="277">
        <v>125041.07988967811</v>
      </c>
      <c r="Q40" s="253">
        <v>125316.87601601018</v>
      </c>
      <c r="R40" s="37" t="s">
        <v>126</v>
      </c>
    </row>
    <row r="41" spans="2:19" s="1" customFormat="1" ht="25.15" customHeight="1">
      <c r="B41" s="121" t="s">
        <v>74</v>
      </c>
      <c r="C41" s="184" t="s">
        <v>51</v>
      </c>
      <c r="D41" s="277">
        <v>70406.493218250369</v>
      </c>
      <c r="E41" s="277">
        <v>127543.49243014536</v>
      </c>
      <c r="F41" s="277">
        <v>137279.23624790565</v>
      </c>
      <c r="G41" s="277">
        <v>113976.11278898219</v>
      </c>
      <c r="H41" s="277">
        <v>120337.31563134945</v>
      </c>
      <c r="I41" s="277">
        <v>118846.43860482529</v>
      </c>
      <c r="J41" s="277">
        <v>130078.63519672876</v>
      </c>
      <c r="K41" s="277">
        <v>130609.17251460865</v>
      </c>
      <c r="L41" s="277">
        <v>137837.60732508538</v>
      </c>
      <c r="M41" s="277">
        <v>134176.02833760466</v>
      </c>
      <c r="N41" s="277">
        <v>80551.519739667565</v>
      </c>
      <c r="O41" s="277">
        <v>105217.24414496581</v>
      </c>
      <c r="P41" s="277">
        <v>161341.82610738277</v>
      </c>
      <c r="Q41" s="253">
        <v>186923.73322503193</v>
      </c>
      <c r="R41" s="37" t="s">
        <v>127</v>
      </c>
    </row>
    <row r="42" spans="2:19" s="1" customFormat="1" ht="25.15" customHeight="1">
      <c r="B42" s="121" t="s">
        <v>75</v>
      </c>
      <c r="C42" s="184" t="s">
        <v>52</v>
      </c>
      <c r="D42" s="277">
        <v>25471.684994210085</v>
      </c>
      <c r="E42" s="277">
        <v>30217.352012476244</v>
      </c>
      <c r="F42" s="277">
        <v>33060.485760898773</v>
      </c>
      <c r="G42" s="277">
        <v>33718.355908764403</v>
      </c>
      <c r="H42" s="277">
        <v>38357.602600786733</v>
      </c>
      <c r="I42" s="277">
        <v>39811.058709159428</v>
      </c>
      <c r="J42" s="277">
        <v>42765.745025496894</v>
      </c>
      <c r="K42" s="277">
        <v>42965.951277154512</v>
      </c>
      <c r="L42" s="277">
        <v>43057.487289910699</v>
      </c>
      <c r="M42" s="277">
        <v>44635.191566175301</v>
      </c>
      <c r="N42" s="277">
        <v>36304.675549541957</v>
      </c>
      <c r="O42" s="277">
        <v>44761.620815114613</v>
      </c>
      <c r="P42" s="277">
        <v>56250.827706579148</v>
      </c>
      <c r="Q42" s="253">
        <v>60019.121757676039</v>
      </c>
      <c r="R42" s="37" t="s">
        <v>128</v>
      </c>
    </row>
    <row r="43" spans="2:19" s="1" customFormat="1" ht="24.75" customHeight="1">
      <c r="B43" s="121" t="s">
        <v>76</v>
      </c>
      <c r="C43" s="184" t="s">
        <v>53</v>
      </c>
      <c r="D43" s="277">
        <v>18389.240660675685</v>
      </c>
      <c r="E43" s="277">
        <v>23423.421048870332</v>
      </c>
      <c r="F43" s="277">
        <v>25540.209511779351</v>
      </c>
      <c r="G43" s="277">
        <v>22235.005168522315</v>
      </c>
      <c r="H43" s="277">
        <v>25044.472232946144</v>
      </c>
      <c r="I43" s="277">
        <v>27598.147606670507</v>
      </c>
      <c r="J43" s="277">
        <v>27474.460909837035</v>
      </c>
      <c r="K43" s="277">
        <v>28556.555705703919</v>
      </c>
      <c r="L43" s="277">
        <v>31707.564866349509</v>
      </c>
      <c r="M43" s="277">
        <v>31767.720478558847</v>
      </c>
      <c r="N43" s="277">
        <v>32271.925476801785</v>
      </c>
      <c r="O43" s="277">
        <v>37078.934232185769</v>
      </c>
      <c r="P43" s="277">
        <v>42038.483458556773</v>
      </c>
      <c r="Q43" s="253">
        <v>43323.374143253925</v>
      </c>
      <c r="R43" s="37" t="s">
        <v>129</v>
      </c>
    </row>
    <row r="44" spans="2:19" s="1" customFormat="1" ht="30" customHeight="1">
      <c r="B44" s="121" t="s">
        <v>77</v>
      </c>
      <c r="C44" s="185" t="s">
        <v>54</v>
      </c>
      <c r="D44" s="278">
        <v>21815.412653912208</v>
      </c>
      <c r="E44" s="278">
        <v>23293.445463657816</v>
      </c>
      <c r="F44" s="278">
        <v>24516.343735846298</v>
      </c>
      <c r="G44" s="278">
        <v>28903.585571536125</v>
      </c>
      <c r="H44" s="278">
        <v>29096.20916747686</v>
      </c>
      <c r="I44" s="278">
        <v>31871.987223640725</v>
      </c>
      <c r="J44" s="278">
        <v>31092.641824864084</v>
      </c>
      <c r="K44" s="278">
        <v>30167.345247250327</v>
      </c>
      <c r="L44" s="278">
        <v>31117.509937285722</v>
      </c>
      <c r="M44" s="278">
        <v>31866.374455493089</v>
      </c>
      <c r="N44" s="278">
        <v>29985.586900151829</v>
      </c>
      <c r="O44" s="278">
        <v>29943.288287252493</v>
      </c>
      <c r="P44" s="278">
        <v>32807.248510015299</v>
      </c>
      <c r="Q44" s="279">
        <v>38995.421299129433</v>
      </c>
      <c r="R44" s="186" t="s">
        <v>55</v>
      </c>
    </row>
    <row r="45" spans="2:19" s="1" customFormat="1" ht="25.15" customHeight="1">
      <c r="B45" s="121" t="s">
        <v>78</v>
      </c>
      <c r="C45" s="184" t="s">
        <v>56</v>
      </c>
      <c r="D45" s="277">
        <v>25141.395660365568</v>
      </c>
      <c r="E45" s="277">
        <v>24724.893781817649</v>
      </c>
      <c r="F45" s="277">
        <v>27728.4608109533</v>
      </c>
      <c r="G45" s="277">
        <v>28867.379342591536</v>
      </c>
      <c r="H45" s="277">
        <v>33049.53229069036</v>
      </c>
      <c r="I45" s="277">
        <v>36821.16300607934</v>
      </c>
      <c r="J45" s="277">
        <v>35641.75540407619</v>
      </c>
      <c r="K45" s="277">
        <v>35269.860694713454</v>
      </c>
      <c r="L45" s="277">
        <v>34421.304901747164</v>
      </c>
      <c r="M45" s="277">
        <v>35257.475848300048</v>
      </c>
      <c r="N45" s="277">
        <v>34957.506225156452</v>
      </c>
      <c r="O45" s="277">
        <v>35730.153815867583</v>
      </c>
      <c r="P45" s="277">
        <v>41329.506441513789</v>
      </c>
      <c r="Q45" s="253">
        <v>46688.344607352978</v>
      </c>
      <c r="R45" s="37" t="s">
        <v>130</v>
      </c>
    </row>
    <row r="46" spans="2:19" s="1" customFormat="1" ht="25.15" customHeight="1">
      <c r="B46" s="121" t="s">
        <v>205</v>
      </c>
      <c r="C46" s="184" t="s">
        <v>188</v>
      </c>
      <c r="D46" s="277">
        <v>41635.988473961246</v>
      </c>
      <c r="E46" s="277">
        <v>36489.186725319953</v>
      </c>
      <c r="F46" s="277">
        <v>38958.500306652422</v>
      </c>
      <c r="G46" s="277">
        <v>34677.540935513374</v>
      </c>
      <c r="H46" s="277">
        <v>37232.594345810096</v>
      </c>
      <c r="I46" s="277">
        <v>44007.007816880636</v>
      </c>
      <c r="J46" s="277">
        <v>39604.969155714032</v>
      </c>
      <c r="K46" s="277">
        <v>41681.659015952886</v>
      </c>
      <c r="L46" s="277">
        <v>45741.790963816078</v>
      </c>
      <c r="M46" s="277">
        <v>53082.442021229886</v>
      </c>
      <c r="N46" s="277">
        <v>48160.035211635812</v>
      </c>
      <c r="O46" s="277">
        <v>53249.773654845601</v>
      </c>
      <c r="P46" s="277">
        <v>59813.472456096875</v>
      </c>
      <c r="Q46" s="253">
        <v>59915.881945805959</v>
      </c>
      <c r="R46" s="37" t="s">
        <v>206</v>
      </c>
    </row>
    <row r="47" spans="2:19" s="1" customFormat="1" ht="25.15" customHeight="1">
      <c r="B47" s="121" t="s">
        <v>79</v>
      </c>
      <c r="C47" s="185" t="s">
        <v>57</v>
      </c>
      <c r="D47" s="278">
        <v>40876.836546634768</v>
      </c>
      <c r="E47" s="278">
        <v>57337.857256933894</v>
      </c>
      <c r="F47" s="278">
        <v>55173.430575507649</v>
      </c>
      <c r="G47" s="278">
        <v>52788.588112043275</v>
      </c>
      <c r="H47" s="278">
        <v>50933.039462894245</v>
      </c>
      <c r="I47" s="278">
        <v>53407.065638207001</v>
      </c>
      <c r="J47" s="278">
        <v>51710.435015858558</v>
      </c>
      <c r="K47" s="278">
        <v>58227.419950424213</v>
      </c>
      <c r="L47" s="278">
        <v>60440.329671779473</v>
      </c>
      <c r="M47" s="278">
        <v>57160.916140742018</v>
      </c>
      <c r="N47" s="278">
        <v>51792.102206364143</v>
      </c>
      <c r="O47" s="278">
        <v>59918.517323166074</v>
      </c>
      <c r="P47" s="278">
        <v>64417.105539607655</v>
      </c>
      <c r="Q47" s="253">
        <v>66609.77723580756</v>
      </c>
      <c r="R47" s="186" t="s">
        <v>131</v>
      </c>
    </row>
    <row r="48" spans="2:19" s="1" customFormat="1" ht="25.15" customHeight="1">
      <c r="B48" s="121" t="s">
        <v>80</v>
      </c>
      <c r="C48" s="184" t="s">
        <v>58</v>
      </c>
      <c r="D48" s="277">
        <v>8614.2951612144934</v>
      </c>
      <c r="E48" s="277">
        <v>9549.3880342174434</v>
      </c>
      <c r="F48" s="277">
        <v>9044.9379426874875</v>
      </c>
      <c r="G48" s="277">
        <v>9854.3670047057676</v>
      </c>
      <c r="H48" s="277">
        <v>11307.424644972198</v>
      </c>
      <c r="I48" s="277">
        <v>11850.73147401592</v>
      </c>
      <c r="J48" s="277">
        <v>11861.393064485208</v>
      </c>
      <c r="K48" s="277">
        <v>12752.957547785223</v>
      </c>
      <c r="L48" s="277">
        <v>12675.193725322442</v>
      </c>
      <c r="M48" s="277">
        <v>12779.948715713683</v>
      </c>
      <c r="N48" s="277">
        <v>12058.14657171107</v>
      </c>
      <c r="O48" s="277">
        <v>13320.483812490442</v>
      </c>
      <c r="P48" s="277">
        <v>14859.567588090475</v>
      </c>
      <c r="Q48" s="279">
        <v>15783.004627908464</v>
      </c>
      <c r="R48" s="37" t="s">
        <v>59</v>
      </c>
    </row>
    <row r="49" spans="2:19" s="1" customFormat="1" ht="25.15" customHeight="1">
      <c r="B49" s="121" t="s">
        <v>81</v>
      </c>
      <c r="C49" s="184" t="s">
        <v>60</v>
      </c>
      <c r="D49" s="277">
        <v>8120.4564067738966</v>
      </c>
      <c r="E49" s="277">
        <v>8027.2802199379203</v>
      </c>
      <c r="F49" s="277">
        <v>9192.7659067034692</v>
      </c>
      <c r="G49" s="277">
        <v>10058.706899264806</v>
      </c>
      <c r="H49" s="277">
        <v>12693.764582656306</v>
      </c>
      <c r="I49" s="277">
        <v>12767.896223321695</v>
      </c>
      <c r="J49" s="277">
        <v>13782.374450891486</v>
      </c>
      <c r="K49" s="277">
        <v>14928.815390830849</v>
      </c>
      <c r="L49" s="277">
        <v>15551.819888125356</v>
      </c>
      <c r="M49" s="277">
        <v>18094.355921948896</v>
      </c>
      <c r="N49" s="277">
        <v>25812.578870026511</v>
      </c>
      <c r="O49" s="277">
        <v>31788.786883952154</v>
      </c>
      <c r="P49" s="277">
        <v>31369.644827131167</v>
      </c>
      <c r="Q49" s="253">
        <v>33127.846008917033</v>
      </c>
      <c r="R49" s="37" t="s">
        <v>132</v>
      </c>
    </row>
    <row r="50" spans="2:19" s="1" customFormat="1" ht="25.15" customHeight="1">
      <c r="B50" s="121" t="s">
        <v>82</v>
      </c>
      <c r="C50" s="184" t="s">
        <v>61</v>
      </c>
      <c r="D50" s="277">
        <v>4993.9346054950984</v>
      </c>
      <c r="E50" s="277">
        <v>6765.4866060222739</v>
      </c>
      <c r="F50" s="277">
        <v>7739.6251201704199</v>
      </c>
      <c r="G50" s="277">
        <v>6284.2691531703013</v>
      </c>
      <c r="H50" s="277">
        <v>8299.2535917196001</v>
      </c>
      <c r="I50" s="277">
        <v>8518.9265575716163</v>
      </c>
      <c r="J50" s="277">
        <v>8793.5572534783569</v>
      </c>
      <c r="K50" s="277">
        <v>9225.2214198317706</v>
      </c>
      <c r="L50" s="277">
        <v>10245.652889471778</v>
      </c>
      <c r="M50" s="277">
        <v>10099.610891680177</v>
      </c>
      <c r="N50" s="277">
        <v>9035.6268232115835</v>
      </c>
      <c r="O50" s="277">
        <v>9830.4448357027795</v>
      </c>
      <c r="P50" s="277">
        <v>10858.618218588235</v>
      </c>
      <c r="Q50" s="253">
        <v>11404.744766304206</v>
      </c>
      <c r="R50" s="37" t="s">
        <v>133</v>
      </c>
    </row>
    <row r="51" spans="2:19" s="1" customFormat="1" ht="25.15" customHeight="1">
      <c r="B51" s="66" t="s">
        <v>83</v>
      </c>
      <c r="C51" s="6" t="s">
        <v>114</v>
      </c>
      <c r="D51" s="302">
        <v>0</v>
      </c>
      <c r="E51" s="302">
        <v>0</v>
      </c>
      <c r="F51" s="302">
        <v>0</v>
      </c>
      <c r="G51" s="302">
        <v>0</v>
      </c>
      <c r="H51" s="302">
        <v>0</v>
      </c>
      <c r="I51" s="302">
        <v>0</v>
      </c>
      <c r="J51" s="302">
        <v>0</v>
      </c>
      <c r="K51" s="302">
        <v>0</v>
      </c>
      <c r="L51" s="302">
        <v>0</v>
      </c>
      <c r="M51" s="302">
        <v>0</v>
      </c>
      <c r="N51" s="302">
        <v>0</v>
      </c>
      <c r="O51" s="302">
        <v>0</v>
      </c>
      <c r="P51" s="302">
        <v>0</v>
      </c>
      <c r="Q51" s="303">
        <v>0</v>
      </c>
      <c r="R51" s="23" t="s">
        <v>134</v>
      </c>
    </row>
    <row r="52" spans="2:19" s="1" customFormat="1" ht="25.15" customHeight="1">
      <c r="B52" s="223"/>
      <c r="C52" s="223" t="s">
        <v>0</v>
      </c>
      <c r="D52" s="224">
        <f>SUM(D35:D51)</f>
        <v>768018.20457032882</v>
      </c>
      <c r="E52" s="224">
        <f t="shared" ref="E52:Q52" si="4">SUM(E35:E51)</f>
        <v>929521.52654162829</v>
      </c>
      <c r="F52" s="224">
        <f t="shared" si="4"/>
        <v>952822.77852111578</v>
      </c>
      <c r="G52" s="224">
        <f t="shared" si="4"/>
        <v>939495.71010445128</v>
      </c>
      <c r="H52" s="224">
        <f t="shared" si="4"/>
        <v>986889.90598896146</v>
      </c>
      <c r="I52" s="224">
        <f t="shared" si="4"/>
        <v>999691.79267559189</v>
      </c>
      <c r="J52" s="224">
        <f t="shared" si="4"/>
        <v>1013964.0011821461</v>
      </c>
      <c r="K52" s="224">
        <f t="shared" si="4"/>
        <v>1086912.7965302586</v>
      </c>
      <c r="L52" s="224">
        <f t="shared" si="4"/>
        <v>1147613.3581519141</v>
      </c>
      <c r="M52" s="224">
        <f t="shared" si="4"/>
        <v>1150731.5881036504</v>
      </c>
      <c r="N52" s="224">
        <f t="shared" si="4"/>
        <v>1030762.3458494289</v>
      </c>
      <c r="O52" s="224">
        <f t="shared" si="4"/>
        <v>1218230.2599904544</v>
      </c>
      <c r="P52" s="224">
        <f t="shared" si="4"/>
        <v>1448115.0145263891</v>
      </c>
      <c r="Q52" s="224">
        <f t="shared" si="4"/>
        <v>1534971.9738737845</v>
      </c>
      <c r="R52" s="62" t="s">
        <v>19</v>
      </c>
      <c r="S52" s="176"/>
    </row>
    <row r="53" spans="2:19" s="1" customFormat="1" ht="25.15" customHeight="1" thickBot="1">
      <c r="B53" s="222"/>
      <c r="C53" s="222" t="s">
        <v>62</v>
      </c>
      <c r="D53" s="109">
        <f>D52-D36</f>
        <v>752381.23943071812</v>
      </c>
      <c r="E53" s="109">
        <f t="shared" ref="E53:Q53" si="5">E52-E36</f>
        <v>910076.69882988418</v>
      </c>
      <c r="F53" s="109">
        <f t="shared" si="5"/>
        <v>932275.40276574378</v>
      </c>
      <c r="G53" s="109">
        <f t="shared" si="5"/>
        <v>912741.81324910698</v>
      </c>
      <c r="H53" s="109">
        <f t="shared" si="5"/>
        <v>957197.76121822</v>
      </c>
      <c r="I53" s="109">
        <f t="shared" si="5"/>
        <v>965274.74972698535</v>
      </c>
      <c r="J53" s="109">
        <f t="shared" si="5"/>
        <v>981730.30630816007</v>
      </c>
      <c r="K53" s="109">
        <f t="shared" si="5"/>
        <v>1029533.4757774919</v>
      </c>
      <c r="L53" s="109">
        <f t="shared" si="5"/>
        <v>1102672.3079011715</v>
      </c>
      <c r="M53" s="109">
        <f t="shared" si="5"/>
        <v>1111508.7193143715</v>
      </c>
      <c r="N53" s="109">
        <f t="shared" si="5"/>
        <v>1001479.1936009359</v>
      </c>
      <c r="O53" s="109">
        <f t="shared" si="5"/>
        <v>1173450.9932252164</v>
      </c>
      <c r="P53" s="109">
        <f t="shared" si="5"/>
        <v>1383375.1352668325</v>
      </c>
      <c r="Q53" s="109">
        <f t="shared" si="5"/>
        <v>1479464.0417968566</v>
      </c>
      <c r="R53" s="70" t="s">
        <v>63</v>
      </c>
      <c r="S53" s="176"/>
    </row>
    <row r="54" spans="2:19" ht="24.95" customHeight="1">
      <c r="B54" s="534" t="s">
        <v>326</v>
      </c>
      <c r="C54" s="534"/>
      <c r="D54" s="31"/>
      <c r="E54" s="31"/>
      <c r="F54" s="31"/>
      <c r="G54" s="31"/>
      <c r="H54" s="31"/>
      <c r="I54" s="31"/>
      <c r="J54" s="31"/>
      <c r="K54" s="31"/>
      <c r="L54" s="31"/>
      <c r="M54" s="31"/>
      <c r="N54" s="31"/>
      <c r="O54" s="31"/>
      <c r="P54" s="31"/>
      <c r="Q54" s="31"/>
      <c r="R54" s="313" t="s">
        <v>327</v>
      </c>
    </row>
    <row r="55" spans="2:19" ht="24.95" customHeight="1">
      <c r="B55" s="535" t="s">
        <v>191</v>
      </c>
      <c r="C55" s="535"/>
      <c r="D55" s="11"/>
      <c r="E55" s="11"/>
      <c r="F55" s="11"/>
      <c r="G55" s="11"/>
      <c r="H55" s="11"/>
      <c r="I55" s="11"/>
      <c r="J55" s="11"/>
      <c r="K55" s="11"/>
      <c r="L55" s="11"/>
      <c r="M55" s="11"/>
      <c r="N55" s="11"/>
      <c r="O55" s="11"/>
      <c r="P55" s="11"/>
      <c r="Q55" s="11"/>
      <c r="R55" s="313" t="s">
        <v>193</v>
      </c>
    </row>
    <row r="56" spans="2:19" s="1" customFormat="1" ht="24.95" customHeight="1">
      <c r="B56" s="81" t="s">
        <v>192</v>
      </c>
      <c r="C56" s="81"/>
      <c r="D56" s="78"/>
      <c r="E56" s="78"/>
      <c r="F56" s="78"/>
      <c r="G56" s="78"/>
      <c r="H56" s="78"/>
      <c r="I56" s="78"/>
      <c r="J56" s="78"/>
      <c r="K56" s="78"/>
      <c r="L56" s="78"/>
      <c r="M56" s="78"/>
      <c r="N56" s="78"/>
      <c r="O56" s="78"/>
      <c r="P56" s="78"/>
      <c r="Q56" s="78"/>
      <c r="R56" s="81" t="s">
        <v>551</v>
      </c>
    </row>
    <row r="57" spans="2:19" ht="25.15" customHeight="1">
      <c r="C57" s="38"/>
      <c r="D57" s="39"/>
      <c r="E57" s="39"/>
      <c r="F57" s="39"/>
      <c r="G57" s="39"/>
      <c r="H57" s="39"/>
      <c r="I57" s="39"/>
      <c r="J57" s="39"/>
      <c r="K57" s="39"/>
      <c r="L57" s="39"/>
      <c r="M57" s="39"/>
      <c r="N57" s="39"/>
      <c r="O57" s="39"/>
      <c r="P57" s="39"/>
      <c r="Q57" s="39"/>
      <c r="R57" s="40"/>
    </row>
    <row r="58" spans="2:19" ht="25.15" customHeight="1">
      <c r="B58" s="507" t="s">
        <v>410</v>
      </c>
      <c r="C58" s="507"/>
      <c r="D58" s="507"/>
      <c r="E58" s="507"/>
      <c r="F58" s="507"/>
      <c r="G58" s="507"/>
      <c r="H58" s="507"/>
      <c r="I58" s="507"/>
      <c r="J58" s="507"/>
      <c r="K58" s="507"/>
      <c r="L58" s="507"/>
      <c r="M58" s="507"/>
      <c r="N58" s="507"/>
      <c r="O58" s="507"/>
      <c r="P58" s="507"/>
      <c r="Q58" s="507"/>
      <c r="R58" s="507"/>
    </row>
    <row r="59" spans="2:19" ht="25.15" customHeight="1">
      <c r="B59" s="529" t="s">
        <v>411</v>
      </c>
      <c r="C59" s="529"/>
      <c r="D59" s="529"/>
      <c r="E59" s="529"/>
      <c r="F59" s="529"/>
      <c r="G59" s="529"/>
      <c r="H59" s="529"/>
      <c r="I59" s="529"/>
      <c r="J59" s="529"/>
      <c r="K59" s="529"/>
      <c r="L59" s="529"/>
      <c r="M59" s="529"/>
      <c r="N59" s="529"/>
      <c r="O59" s="529"/>
      <c r="P59" s="529"/>
      <c r="Q59" s="529"/>
      <c r="R59" s="529"/>
    </row>
    <row r="60" spans="2:19" ht="25.15" customHeight="1">
      <c r="B60" s="179"/>
      <c r="C60" s="179"/>
      <c r="D60" s="179"/>
      <c r="E60" s="179"/>
      <c r="F60" s="179"/>
      <c r="G60" s="179"/>
      <c r="H60" s="179"/>
      <c r="I60" s="179"/>
      <c r="J60" s="179"/>
      <c r="K60" s="179"/>
      <c r="L60" s="179"/>
      <c r="M60" s="179"/>
      <c r="N60" s="179"/>
      <c r="O60" s="179"/>
      <c r="P60" s="179"/>
      <c r="Q60" s="179"/>
      <c r="R60" s="64" t="s">
        <v>412</v>
      </c>
    </row>
    <row r="61" spans="2:19" ht="25.15" customHeight="1">
      <c r="B61" s="3" t="s">
        <v>67</v>
      </c>
      <c r="C61" s="88" t="s">
        <v>117</v>
      </c>
      <c r="D61" s="49">
        <v>2010</v>
      </c>
      <c r="E61" s="50">
        <v>2011</v>
      </c>
      <c r="F61" s="50">
        <v>2012</v>
      </c>
      <c r="G61" s="50">
        <v>2013</v>
      </c>
      <c r="H61" s="50">
        <v>2014</v>
      </c>
      <c r="I61" s="50">
        <v>2015</v>
      </c>
      <c r="J61" s="50">
        <v>2016</v>
      </c>
      <c r="K61" s="50">
        <v>2017</v>
      </c>
      <c r="L61" s="3">
        <v>2018</v>
      </c>
      <c r="M61" s="50">
        <v>2019</v>
      </c>
      <c r="N61" s="49">
        <v>2020</v>
      </c>
      <c r="O61" s="49">
        <v>2021</v>
      </c>
      <c r="P61" s="49" t="s">
        <v>185</v>
      </c>
      <c r="Q61" s="49" t="s">
        <v>186</v>
      </c>
      <c r="R61" s="3" t="s">
        <v>118</v>
      </c>
    </row>
    <row r="62" spans="2:19" ht="25.15" customHeight="1">
      <c r="B62" s="68"/>
      <c r="C62" s="36" t="s">
        <v>102</v>
      </c>
      <c r="D62" s="104">
        <f>SUM(D63:D71,D73:D74,D76:D78)</f>
        <v>223625.03051250236</v>
      </c>
      <c r="E62" s="104">
        <f t="shared" ref="E62:Q62" si="6">SUM(E63:E71,E73:E74,E76:E78)</f>
        <v>241939.3423242532</v>
      </c>
      <c r="F62" s="104">
        <f t="shared" si="6"/>
        <v>259663.84744446821</v>
      </c>
      <c r="G62" s="104">
        <f t="shared" si="6"/>
        <v>290786.90323887306</v>
      </c>
      <c r="H62" s="104">
        <f t="shared" si="6"/>
        <v>307863.85225813009</v>
      </c>
      <c r="I62" s="104">
        <f t="shared" si="6"/>
        <v>322596.21094401577</v>
      </c>
      <c r="J62" s="104">
        <f t="shared" si="6"/>
        <v>347921.06862837297</v>
      </c>
      <c r="K62" s="104">
        <f t="shared" si="6"/>
        <v>367627.53490681254</v>
      </c>
      <c r="L62" s="104">
        <f t="shared" si="6"/>
        <v>382759.57241079025</v>
      </c>
      <c r="M62" s="104">
        <f t="shared" si="6"/>
        <v>393933.52930396987</v>
      </c>
      <c r="N62" s="104">
        <f t="shared" si="6"/>
        <v>371748.74368660501</v>
      </c>
      <c r="O62" s="104">
        <f t="shared" si="6"/>
        <v>396822.9287218707</v>
      </c>
      <c r="P62" s="104">
        <f t="shared" si="6"/>
        <v>447292.57213905518</v>
      </c>
      <c r="Q62" s="104">
        <f t="shared" si="6"/>
        <v>469445.21307475254</v>
      </c>
      <c r="R62" s="186" t="s">
        <v>44</v>
      </c>
      <c r="S62" s="139"/>
    </row>
    <row r="63" spans="2:19" ht="25.15" customHeight="1">
      <c r="B63" s="121" t="s">
        <v>68</v>
      </c>
      <c r="C63" s="184" t="s">
        <v>45</v>
      </c>
      <c r="D63" s="280">
        <v>2743.5802984214688</v>
      </c>
      <c r="E63" s="253">
        <v>2944.2013445672746</v>
      </c>
      <c r="F63" s="253">
        <v>3007.862223981951</v>
      </c>
      <c r="G63" s="253">
        <v>3247.6935528489466</v>
      </c>
      <c r="H63" s="253">
        <v>3402.6143327121472</v>
      </c>
      <c r="I63" s="253">
        <v>3536.0569459594917</v>
      </c>
      <c r="J63" s="253">
        <v>3626.1681742982555</v>
      </c>
      <c r="K63" s="253">
        <v>3791.222954331442</v>
      </c>
      <c r="L63" s="253">
        <v>3882.2242753906112</v>
      </c>
      <c r="M63" s="253">
        <v>3970.004432824951</v>
      </c>
      <c r="N63" s="253">
        <v>4147.3932556849641</v>
      </c>
      <c r="O63" s="253">
        <v>4073.857456618678</v>
      </c>
      <c r="P63" s="253">
        <v>4155.3561167824264</v>
      </c>
      <c r="Q63" s="253">
        <v>4264.82750895556</v>
      </c>
      <c r="R63" s="37" t="s">
        <v>123</v>
      </c>
      <c r="S63" s="139"/>
    </row>
    <row r="64" spans="2:19" ht="25.15" customHeight="1">
      <c r="B64" s="121" t="s">
        <v>69</v>
      </c>
      <c r="C64" s="184" t="s">
        <v>46</v>
      </c>
      <c r="D64" s="280">
        <v>9485.6646158973799</v>
      </c>
      <c r="E64" s="253">
        <v>10628.810766972541</v>
      </c>
      <c r="F64" s="253">
        <v>12807.295682078504</v>
      </c>
      <c r="G64" s="253">
        <v>15093.700635754862</v>
      </c>
      <c r="H64" s="253">
        <v>17001.536698730735</v>
      </c>
      <c r="I64" s="253">
        <v>19880.130288647259</v>
      </c>
      <c r="J64" s="253">
        <v>18448.944056701534</v>
      </c>
      <c r="K64" s="253">
        <v>19419.392334946911</v>
      </c>
      <c r="L64" s="253">
        <v>20429.515522333986</v>
      </c>
      <c r="M64" s="253">
        <v>20296.410748467773</v>
      </c>
      <c r="N64" s="253">
        <v>21251.758213792295</v>
      </c>
      <c r="O64" s="253">
        <v>25133.811466906343</v>
      </c>
      <c r="P64" s="253">
        <v>26457.74576646955</v>
      </c>
      <c r="Q64" s="253">
        <v>26426.238667865204</v>
      </c>
      <c r="R64" s="37" t="s">
        <v>124</v>
      </c>
      <c r="S64" s="139"/>
    </row>
    <row r="65" spans="2:19" ht="25.15" customHeight="1">
      <c r="B65" s="121" t="s">
        <v>70</v>
      </c>
      <c r="C65" s="184" t="s">
        <v>13</v>
      </c>
      <c r="D65" s="280">
        <v>30411.567604533142</v>
      </c>
      <c r="E65" s="253">
        <v>33698.597697481768</v>
      </c>
      <c r="F65" s="253">
        <v>36067.612724535546</v>
      </c>
      <c r="G65" s="253">
        <v>38470.225976426991</v>
      </c>
      <c r="H65" s="253">
        <v>41353.083980591633</v>
      </c>
      <c r="I65" s="253">
        <v>43780.535840926343</v>
      </c>
      <c r="J65" s="253">
        <v>44091.979362602753</v>
      </c>
      <c r="K65" s="253">
        <v>46428.939431940707</v>
      </c>
      <c r="L65" s="253">
        <v>45706.047527779352</v>
      </c>
      <c r="M65" s="253">
        <v>47474.493623822338</v>
      </c>
      <c r="N65" s="253">
        <v>46079.117202781337</v>
      </c>
      <c r="O65" s="253">
        <v>48202.396720189259</v>
      </c>
      <c r="P65" s="253">
        <v>50813.614113214258</v>
      </c>
      <c r="Q65" s="253">
        <v>52954.532852706863</v>
      </c>
      <c r="R65" s="37" t="s">
        <v>47</v>
      </c>
      <c r="S65" s="139"/>
    </row>
    <row r="66" spans="2:19" ht="25.15" customHeight="1">
      <c r="B66" s="121" t="s">
        <v>71</v>
      </c>
      <c r="C66" s="184" t="s">
        <v>48</v>
      </c>
      <c r="D66" s="280">
        <v>4324.2204769306072</v>
      </c>
      <c r="E66" s="253">
        <v>4452.0730902945261</v>
      </c>
      <c r="F66" s="253">
        <v>4548.1849282551248</v>
      </c>
      <c r="G66" s="253">
        <v>5114.4726441965086</v>
      </c>
      <c r="H66" s="253">
        <v>5478.136602929837</v>
      </c>
      <c r="I66" s="253">
        <v>5741.5777943442117</v>
      </c>
      <c r="J66" s="253">
        <v>6359.9942899062462</v>
      </c>
      <c r="K66" s="253">
        <v>7172.1583580982497</v>
      </c>
      <c r="L66" s="253">
        <v>8049.3512047033937</v>
      </c>
      <c r="M66" s="253">
        <v>9536.7454230674994</v>
      </c>
      <c r="N66" s="253">
        <v>10512.60139464768</v>
      </c>
      <c r="O66" s="253">
        <v>11052.923450920865</v>
      </c>
      <c r="P66" s="253">
        <v>11285.19021668431</v>
      </c>
      <c r="Q66" s="253">
        <v>11874.343443614518</v>
      </c>
      <c r="R66" s="37" t="s">
        <v>125</v>
      </c>
      <c r="S66" s="139"/>
    </row>
    <row r="67" spans="2:19" ht="25.15" customHeight="1">
      <c r="B67" s="121" t="s">
        <v>72</v>
      </c>
      <c r="C67" s="184" t="s">
        <v>14</v>
      </c>
      <c r="D67" s="280">
        <v>43748.279705349712</v>
      </c>
      <c r="E67" s="253">
        <v>43908.824879465981</v>
      </c>
      <c r="F67" s="253">
        <v>41817.48710862139</v>
      </c>
      <c r="G67" s="253">
        <v>46609.586413691155</v>
      </c>
      <c r="H67" s="253">
        <v>48033.467989248718</v>
      </c>
      <c r="I67" s="253">
        <v>49421.927237709388</v>
      </c>
      <c r="J67" s="253">
        <v>51432.057332221906</v>
      </c>
      <c r="K67" s="253">
        <v>54188.032338790908</v>
      </c>
      <c r="L67" s="253">
        <v>57038.014559282688</v>
      </c>
      <c r="M67" s="253">
        <v>58767.221039292999</v>
      </c>
      <c r="N67" s="253">
        <v>54122.360267725388</v>
      </c>
      <c r="O67" s="253">
        <v>55961.546186668646</v>
      </c>
      <c r="P67" s="253">
        <v>60720.549252426659</v>
      </c>
      <c r="Q67" s="253">
        <v>64138.293222512206</v>
      </c>
      <c r="R67" s="37" t="s">
        <v>49</v>
      </c>
      <c r="S67" s="139"/>
    </row>
    <row r="68" spans="2:19" ht="25.15" customHeight="1">
      <c r="B68" s="121" t="s">
        <v>73</v>
      </c>
      <c r="C68" s="184" t="s">
        <v>50</v>
      </c>
      <c r="D68" s="280">
        <v>40809.5405481411</v>
      </c>
      <c r="E68" s="253">
        <v>43294.95325719942</v>
      </c>
      <c r="F68" s="253">
        <v>48296.11663397307</v>
      </c>
      <c r="G68" s="253">
        <v>55401.732306277365</v>
      </c>
      <c r="H68" s="253">
        <v>55479.183866147767</v>
      </c>
      <c r="I68" s="253">
        <v>55653.736353631684</v>
      </c>
      <c r="J68" s="253">
        <v>65745.778068181593</v>
      </c>
      <c r="K68" s="253">
        <v>67836.826987296634</v>
      </c>
      <c r="L68" s="253">
        <v>68730.238219943625</v>
      </c>
      <c r="M68" s="253">
        <v>71186.002071884795</v>
      </c>
      <c r="N68" s="253">
        <v>68399.312792173296</v>
      </c>
      <c r="O68" s="253">
        <v>76015.247321231494</v>
      </c>
      <c r="P68" s="253">
        <v>86028.68952720474</v>
      </c>
      <c r="Q68" s="253">
        <v>88782.884181544287</v>
      </c>
      <c r="R68" s="37" t="s">
        <v>126</v>
      </c>
      <c r="S68" s="139"/>
    </row>
    <row r="69" spans="2:19" ht="25.15" customHeight="1">
      <c r="B69" s="121" t="s">
        <v>74</v>
      </c>
      <c r="C69" s="184" t="s">
        <v>51</v>
      </c>
      <c r="D69" s="280">
        <v>23361.804360705763</v>
      </c>
      <c r="E69" s="253">
        <v>25708.657870511219</v>
      </c>
      <c r="F69" s="253">
        <v>30284.822631077957</v>
      </c>
      <c r="G69" s="253">
        <v>32405.343615953883</v>
      </c>
      <c r="H69" s="253">
        <v>35621.122596223679</v>
      </c>
      <c r="I69" s="253">
        <v>38073.660218811638</v>
      </c>
      <c r="J69" s="253">
        <v>42329.188422391962</v>
      </c>
      <c r="K69" s="253">
        <v>42290.775327584983</v>
      </c>
      <c r="L69" s="253">
        <v>44092.392143855162</v>
      </c>
      <c r="M69" s="253">
        <v>42317.992190486613</v>
      </c>
      <c r="N69" s="253">
        <v>36569.591021454864</v>
      </c>
      <c r="O69" s="253">
        <v>37290.594108982768</v>
      </c>
      <c r="P69" s="253">
        <v>46701.003647016412</v>
      </c>
      <c r="Q69" s="253">
        <v>54187.864138525627</v>
      </c>
      <c r="R69" s="37" t="s">
        <v>127</v>
      </c>
      <c r="S69" s="139"/>
    </row>
    <row r="70" spans="2:19" ht="25.15" customHeight="1">
      <c r="B70" s="121" t="s">
        <v>75</v>
      </c>
      <c r="C70" s="184" t="s">
        <v>52</v>
      </c>
      <c r="D70" s="280">
        <v>7813.1051885470097</v>
      </c>
      <c r="E70" s="253">
        <v>9020.4544039014836</v>
      </c>
      <c r="F70" s="253">
        <v>10735.900799992523</v>
      </c>
      <c r="G70" s="253">
        <v>12959.498016774169</v>
      </c>
      <c r="H70" s="253">
        <v>13796.485860584433</v>
      </c>
      <c r="I70" s="253">
        <v>14424.50093516135</v>
      </c>
      <c r="J70" s="253">
        <v>15689.615530603774</v>
      </c>
      <c r="K70" s="253">
        <v>17048.972614992221</v>
      </c>
      <c r="L70" s="253">
        <v>17730.284864063469</v>
      </c>
      <c r="M70" s="253">
        <v>19284.0041597296</v>
      </c>
      <c r="N70" s="253">
        <v>14861.917510775373</v>
      </c>
      <c r="O70" s="253">
        <v>17137.686379820108</v>
      </c>
      <c r="P70" s="253">
        <v>21581.922066039286</v>
      </c>
      <c r="Q70" s="253">
        <v>22639.587999016163</v>
      </c>
      <c r="R70" s="37" t="s">
        <v>128</v>
      </c>
      <c r="S70" s="139"/>
    </row>
    <row r="71" spans="2:19" ht="25.15" customHeight="1">
      <c r="B71" s="121" t="s">
        <v>76</v>
      </c>
      <c r="C71" s="184" t="s">
        <v>53</v>
      </c>
      <c r="D71" s="280">
        <v>8422.5454028541426</v>
      </c>
      <c r="E71" s="253">
        <v>9295.8902488542917</v>
      </c>
      <c r="F71" s="253">
        <v>8545.377703985976</v>
      </c>
      <c r="G71" s="253">
        <v>10497.450929640179</v>
      </c>
      <c r="H71" s="253">
        <v>11419.269249602534</v>
      </c>
      <c r="I71" s="253">
        <v>11859.368949566346</v>
      </c>
      <c r="J71" s="253">
        <v>12056.293283773539</v>
      </c>
      <c r="K71" s="253">
        <v>13200.333616541211</v>
      </c>
      <c r="L71" s="253">
        <v>14197.590823519346</v>
      </c>
      <c r="M71" s="253">
        <v>15034.916341042255</v>
      </c>
      <c r="N71" s="253">
        <v>15692.156816212098</v>
      </c>
      <c r="O71" s="253">
        <v>16777.025481069777</v>
      </c>
      <c r="P71" s="253">
        <v>16726.30507951714</v>
      </c>
      <c r="Q71" s="253">
        <v>17582.500583713478</v>
      </c>
      <c r="R71" s="37" t="s">
        <v>129</v>
      </c>
      <c r="S71" s="139"/>
    </row>
    <row r="72" spans="2:19" ht="25.15" customHeight="1">
      <c r="B72" s="121" t="s">
        <v>77</v>
      </c>
      <c r="C72" s="185" t="s">
        <v>54</v>
      </c>
      <c r="D72" s="281">
        <v>19361.890547371368</v>
      </c>
      <c r="E72" s="279">
        <v>19987.473462770788</v>
      </c>
      <c r="F72" s="279">
        <v>20804.330521701751</v>
      </c>
      <c r="G72" s="279">
        <v>23490.355480059872</v>
      </c>
      <c r="H72" s="279">
        <v>25970.930493716576</v>
      </c>
      <c r="I72" s="279">
        <v>28929.018459258212</v>
      </c>
      <c r="J72" s="279">
        <v>28929.099272747386</v>
      </c>
      <c r="K72" s="279">
        <v>24982.168350912954</v>
      </c>
      <c r="L72" s="279">
        <v>24349.314155653279</v>
      </c>
      <c r="M72" s="279">
        <v>24257.097463437625</v>
      </c>
      <c r="N72" s="279">
        <v>23787.513331722159</v>
      </c>
      <c r="O72" s="279">
        <v>23811.029784427432</v>
      </c>
      <c r="P72" s="279">
        <v>28828.268358192963</v>
      </c>
      <c r="Q72" s="279">
        <v>30706.20703644324</v>
      </c>
      <c r="R72" s="186" t="s">
        <v>55</v>
      </c>
      <c r="S72" s="139"/>
    </row>
    <row r="73" spans="2:19" ht="25.15" customHeight="1">
      <c r="B73" s="121" t="s">
        <v>78</v>
      </c>
      <c r="C73" s="184" t="s">
        <v>56</v>
      </c>
      <c r="D73" s="280">
        <v>4126.8335390578677</v>
      </c>
      <c r="E73" s="253">
        <v>5145.3069290789663</v>
      </c>
      <c r="F73" s="253">
        <v>5274.0338457805701</v>
      </c>
      <c r="G73" s="253">
        <v>5504.7314950319123</v>
      </c>
      <c r="H73" s="253">
        <v>6195.3878076329738</v>
      </c>
      <c r="I73" s="253">
        <v>6654.3060967086794</v>
      </c>
      <c r="J73" s="253">
        <v>7573.0272292578502</v>
      </c>
      <c r="K73" s="253">
        <v>8563.3622503320512</v>
      </c>
      <c r="L73" s="253">
        <v>8775.3234881229946</v>
      </c>
      <c r="M73" s="253">
        <v>8740.9592676987195</v>
      </c>
      <c r="N73" s="253">
        <v>8334.3212493651936</v>
      </c>
      <c r="O73" s="253">
        <v>9037.4692315965513</v>
      </c>
      <c r="P73" s="253">
        <v>11304.921964416408</v>
      </c>
      <c r="Q73" s="253">
        <v>12488.651497024326</v>
      </c>
      <c r="R73" s="37" t="s">
        <v>130</v>
      </c>
      <c r="S73" s="139"/>
    </row>
    <row r="74" spans="2:19" ht="25.15" customHeight="1">
      <c r="B74" s="121" t="s">
        <v>205</v>
      </c>
      <c r="C74" s="184" t="s">
        <v>188</v>
      </c>
      <c r="D74" s="280">
        <v>25331.188145042339</v>
      </c>
      <c r="E74" s="253">
        <v>27986.329376777805</v>
      </c>
      <c r="F74" s="253">
        <v>29690.722657193561</v>
      </c>
      <c r="G74" s="253">
        <v>33271.16052930172</v>
      </c>
      <c r="H74" s="253">
        <v>35409.314865711087</v>
      </c>
      <c r="I74" s="253">
        <v>37162.813771200883</v>
      </c>
      <c r="J74" s="253">
        <v>41030.717988547032</v>
      </c>
      <c r="K74" s="253">
        <v>43732.347924256581</v>
      </c>
      <c r="L74" s="253">
        <v>48052.67789239905</v>
      </c>
      <c r="M74" s="253">
        <v>50772.317121446511</v>
      </c>
      <c r="N74" s="253">
        <v>46762.537207314424</v>
      </c>
      <c r="O74" s="253">
        <v>47060.526189353157</v>
      </c>
      <c r="P74" s="253">
        <v>56020.873539862419</v>
      </c>
      <c r="Q74" s="253">
        <v>56184.918450538666</v>
      </c>
      <c r="R74" s="37" t="s">
        <v>206</v>
      </c>
      <c r="S74" s="139"/>
    </row>
    <row r="75" spans="2:19" ht="25.15" customHeight="1">
      <c r="B75" s="121" t="s">
        <v>79</v>
      </c>
      <c r="C75" s="185" t="s">
        <v>57</v>
      </c>
      <c r="D75" s="280">
        <v>52078.483403471953</v>
      </c>
      <c r="E75" s="253">
        <v>55706.830861202267</v>
      </c>
      <c r="F75" s="253">
        <v>63301.968713406546</v>
      </c>
      <c r="G75" s="253">
        <v>73059.145729501426</v>
      </c>
      <c r="H75" s="253">
        <v>78725.549480114132</v>
      </c>
      <c r="I75" s="253">
        <v>82356.931281912664</v>
      </c>
      <c r="J75" s="253">
        <v>86562.133486836887</v>
      </c>
      <c r="K75" s="253">
        <v>94375.795916231757</v>
      </c>
      <c r="L75" s="253">
        <v>99920.685965741737</v>
      </c>
      <c r="M75" s="253">
        <v>99859.845168586122</v>
      </c>
      <c r="N75" s="253">
        <v>102825.60132577464</v>
      </c>
      <c r="O75" s="253">
        <v>104969.99764357753</v>
      </c>
      <c r="P75" s="253">
        <v>106314.86421505346</v>
      </c>
      <c r="Q75" s="253">
        <v>112441.59631858468</v>
      </c>
      <c r="R75" s="186" t="s">
        <v>131</v>
      </c>
      <c r="S75" s="139"/>
    </row>
    <row r="76" spans="2:19" ht="25.15" customHeight="1">
      <c r="B76" s="121" t="s">
        <v>80</v>
      </c>
      <c r="C76" s="184" t="s">
        <v>58</v>
      </c>
      <c r="D76" s="281">
        <v>10218.748388225011</v>
      </c>
      <c r="E76" s="279">
        <v>12106.796429552305</v>
      </c>
      <c r="F76" s="279">
        <v>13453.866161150927</v>
      </c>
      <c r="G76" s="279">
        <v>15133.585219069319</v>
      </c>
      <c r="H76" s="279">
        <v>17032.154145125722</v>
      </c>
      <c r="I76" s="279">
        <v>17581.310518115784</v>
      </c>
      <c r="J76" s="279">
        <v>18916.70642108703</v>
      </c>
      <c r="K76" s="279">
        <v>20867.269880630349</v>
      </c>
      <c r="L76" s="279">
        <v>21319.741544620309</v>
      </c>
      <c r="M76" s="279">
        <v>20446.86393494486</v>
      </c>
      <c r="N76" s="279">
        <v>19694.700952337666</v>
      </c>
      <c r="O76" s="279">
        <v>20402.607233581268</v>
      </c>
      <c r="P76" s="279">
        <v>23262.601756756503</v>
      </c>
      <c r="Q76" s="279">
        <v>24191.265481766146</v>
      </c>
      <c r="R76" s="37" t="s">
        <v>59</v>
      </c>
      <c r="S76" s="139"/>
    </row>
    <row r="77" spans="2:19" ht="25.15" customHeight="1">
      <c r="B77" s="121" t="s">
        <v>81</v>
      </c>
      <c r="C77" s="184" t="s">
        <v>60</v>
      </c>
      <c r="D77" s="280">
        <v>9415.4740044488899</v>
      </c>
      <c r="E77" s="253">
        <v>10104.681081777686</v>
      </c>
      <c r="F77" s="253">
        <v>10640.509008594869</v>
      </c>
      <c r="G77" s="253">
        <v>12544.926353154207</v>
      </c>
      <c r="H77" s="253">
        <v>12948.302087035925</v>
      </c>
      <c r="I77" s="253">
        <v>13933.133468253474</v>
      </c>
      <c r="J77" s="253">
        <v>15155.320185917901</v>
      </c>
      <c r="K77" s="253">
        <v>17025.216057875696</v>
      </c>
      <c r="L77" s="253">
        <v>18270.235716012292</v>
      </c>
      <c r="M77" s="253">
        <v>19543.013652879203</v>
      </c>
      <c r="N77" s="253">
        <v>19163.612877927109</v>
      </c>
      <c r="O77" s="253">
        <v>22029.995644492505</v>
      </c>
      <c r="P77" s="253">
        <v>24726.92243018423</v>
      </c>
      <c r="Q77" s="253">
        <v>25947.58805303734</v>
      </c>
      <c r="R77" s="37" t="s">
        <v>132</v>
      </c>
      <c r="S77" s="139"/>
    </row>
    <row r="78" spans="2:19" ht="25.15" customHeight="1">
      <c r="B78" s="121" t="s">
        <v>82</v>
      </c>
      <c r="C78" s="184" t="s">
        <v>61</v>
      </c>
      <c r="D78" s="280">
        <v>3412.4782343479469</v>
      </c>
      <c r="E78" s="253">
        <v>3643.7649478179173</v>
      </c>
      <c r="F78" s="253">
        <v>4494.0553352462066</v>
      </c>
      <c r="G78" s="253">
        <v>4532.7955507518727</v>
      </c>
      <c r="H78" s="253">
        <v>4693.7921758528973</v>
      </c>
      <c r="I78" s="253">
        <v>4893.152524979183</v>
      </c>
      <c r="J78" s="253">
        <v>5465.2782828816235</v>
      </c>
      <c r="K78" s="253">
        <v>6062.684829194508</v>
      </c>
      <c r="L78" s="253">
        <v>6485.9346287640028</v>
      </c>
      <c r="M78" s="253">
        <v>6562.5852963817297</v>
      </c>
      <c r="N78" s="253">
        <v>6157.3629244134299</v>
      </c>
      <c r="O78" s="253">
        <v>6647.2418504393581</v>
      </c>
      <c r="P78" s="253">
        <v>7506.8766624809305</v>
      </c>
      <c r="Q78" s="253">
        <v>7781.716993932122</v>
      </c>
      <c r="R78" s="37" t="s">
        <v>133</v>
      </c>
      <c r="S78" s="139"/>
    </row>
    <row r="79" spans="2:19" ht="25.15" customHeight="1">
      <c r="B79" s="122" t="s">
        <v>83</v>
      </c>
      <c r="C79" s="188" t="s">
        <v>114</v>
      </c>
      <c r="D79" s="280">
        <v>4637.4780095990955</v>
      </c>
      <c r="E79" s="253">
        <v>5090.2985227509334</v>
      </c>
      <c r="F79" s="253">
        <v>5437.6905862035028</v>
      </c>
      <c r="G79" s="253">
        <v>6684.3916131643091</v>
      </c>
      <c r="H79" s="253">
        <v>7607.6628187400538</v>
      </c>
      <c r="I79" s="253">
        <v>8225.0801532298738</v>
      </c>
      <c r="J79" s="253">
        <v>8854.2923584608179</v>
      </c>
      <c r="K79" s="253">
        <v>9480.228075245288</v>
      </c>
      <c r="L79" s="253">
        <v>10144.907516283205</v>
      </c>
      <c r="M79" s="253">
        <v>10800.982667795603</v>
      </c>
      <c r="N79" s="253">
        <v>10619.575114443309</v>
      </c>
      <c r="O79" s="253">
        <v>10706.856243053455</v>
      </c>
      <c r="P79" s="253">
        <v>11396.288757616006</v>
      </c>
      <c r="Q79" s="253">
        <v>11616.569435400017</v>
      </c>
      <c r="R79" s="186" t="s">
        <v>134</v>
      </c>
      <c r="S79" s="139"/>
    </row>
    <row r="80" spans="2:19" ht="25.15" customHeight="1">
      <c r="B80" s="537" t="s">
        <v>0</v>
      </c>
      <c r="C80" s="537"/>
      <c r="D80" s="105">
        <f>SUM(D63:D79)</f>
        <v>299702.8824729448</v>
      </c>
      <c r="E80" s="105">
        <f t="shared" ref="E80:Q80" si="7">SUM(E63:E79)</f>
        <v>322723.94517097709</v>
      </c>
      <c r="F80" s="105">
        <f t="shared" si="7"/>
        <v>349207.8372657799</v>
      </c>
      <c r="G80" s="105">
        <f t="shared" si="7"/>
        <v>394020.7960615987</v>
      </c>
      <c r="H80" s="105">
        <f t="shared" si="7"/>
        <v>420167.99505070079</v>
      </c>
      <c r="I80" s="105">
        <f t="shared" si="7"/>
        <v>442107.2408384165</v>
      </c>
      <c r="J80" s="105">
        <f t="shared" si="7"/>
        <v>472266.59374641813</v>
      </c>
      <c r="K80" s="105">
        <f t="shared" si="7"/>
        <v>496465.72724920255</v>
      </c>
      <c r="L80" s="105">
        <f t="shared" si="7"/>
        <v>517174.48004846857</v>
      </c>
      <c r="M80" s="105">
        <f t="shared" si="7"/>
        <v>528851.45460378914</v>
      </c>
      <c r="N80" s="105">
        <f t="shared" si="7"/>
        <v>508981.43345854525</v>
      </c>
      <c r="O80" s="105">
        <f t="shared" si="7"/>
        <v>536310.8123929291</v>
      </c>
      <c r="P80" s="105">
        <f t="shared" si="7"/>
        <v>593831.99346991756</v>
      </c>
      <c r="Q80" s="105">
        <f t="shared" si="7"/>
        <v>624209.58586518047</v>
      </c>
      <c r="R80" s="24" t="s">
        <v>19</v>
      </c>
      <c r="S80" s="176"/>
    </row>
    <row r="81" spans="2:19" ht="25.15" customHeight="1" thickBot="1">
      <c r="B81" s="540" t="s">
        <v>62</v>
      </c>
      <c r="C81" s="540"/>
      <c r="D81" s="92">
        <f>D80-D64</f>
        <v>290217.21785704739</v>
      </c>
      <c r="E81" s="92">
        <f t="shared" ref="E81:Q81" si="8">E80-E64</f>
        <v>312095.13440400455</v>
      </c>
      <c r="F81" s="92">
        <f t="shared" si="8"/>
        <v>336400.54158370139</v>
      </c>
      <c r="G81" s="92">
        <f t="shared" si="8"/>
        <v>378927.09542584384</v>
      </c>
      <c r="H81" s="92">
        <f t="shared" si="8"/>
        <v>403166.45835197007</v>
      </c>
      <c r="I81" s="92">
        <f t="shared" si="8"/>
        <v>422227.11054976925</v>
      </c>
      <c r="J81" s="92">
        <f t="shared" si="8"/>
        <v>453817.64968971658</v>
      </c>
      <c r="K81" s="92">
        <f t="shared" si="8"/>
        <v>477046.33491425565</v>
      </c>
      <c r="L81" s="92">
        <f t="shared" si="8"/>
        <v>496744.9645261346</v>
      </c>
      <c r="M81" s="92">
        <f t="shared" si="8"/>
        <v>508555.04385532136</v>
      </c>
      <c r="N81" s="92">
        <f t="shared" si="8"/>
        <v>487729.67524475296</v>
      </c>
      <c r="O81" s="92">
        <f t="shared" si="8"/>
        <v>511177.00092602277</v>
      </c>
      <c r="P81" s="92">
        <f t="shared" si="8"/>
        <v>567374.24770344805</v>
      </c>
      <c r="Q81" s="92">
        <f t="shared" si="8"/>
        <v>597783.34719731531</v>
      </c>
      <c r="R81" s="48" t="s">
        <v>63</v>
      </c>
      <c r="S81" s="176"/>
    </row>
    <row r="82" spans="2:19" ht="24.95" customHeight="1">
      <c r="B82" s="534" t="s">
        <v>326</v>
      </c>
      <c r="C82" s="534"/>
      <c r="D82" s="31"/>
      <c r="E82" s="31"/>
      <c r="F82" s="31"/>
      <c r="G82" s="31"/>
      <c r="H82" s="31"/>
      <c r="I82" s="31"/>
      <c r="J82" s="31"/>
      <c r="K82" s="31"/>
      <c r="L82" s="31"/>
      <c r="M82" s="31"/>
      <c r="N82" s="31"/>
      <c r="O82" s="31"/>
      <c r="P82" s="31"/>
      <c r="Q82" s="31"/>
      <c r="R82" s="313" t="s">
        <v>327</v>
      </c>
    </row>
    <row r="83" spans="2:19" ht="24.95" customHeight="1">
      <c r="B83" s="535" t="s">
        <v>191</v>
      </c>
      <c r="C83" s="535"/>
      <c r="D83" s="11"/>
      <c r="E83" s="11"/>
      <c r="F83" s="11"/>
      <c r="G83" s="11"/>
      <c r="H83" s="11"/>
      <c r="I83" s="11"/>
      <c r="J83" s="11"/>
      <c r="K83" s="11"/>
      <c r="L83" s="11"/>
      <c r="M83" s="11"/>
      <c r="N83" s="11"/>
      <c r="O83" s="11"/>
      <c r="P83" s="11"/>
      <c r="Q83" s="11"/>
      <c r="R83" s="313" t="s">
        <v>193</v>
      </c>
    </row>
    <row r="84" spans="2:19" ht="24.95" customHeight="1">
      <c r="B84" s="81" t="s">
        <v>192</v>
      </c>
      <c r="C84" s="81"/>
      <c r="D84" s="78"/>
      <c r="E84" s="78"/>
      <c r="F84" s="78"/>
      <c r="G84" s="78"/>
      <c r="H84" s="78"/>
      <c r="I84" s="78"/>
      <c r="J84" s="78"/>
      <c r="K84" s="78"/>
      <c r="L84" s="78"/>
      <c r="M84" s="78"/>
      <c r="N84" s="78"/>
      <c r="O84" s="78"/>
      <c r="P84" s="78"/>
      <c r="Q84" s="78"/>
      <c r="R84" s="81" t="s">
        <v>551</v>
      </c>
    </row>
    <row r="85" spans="2:19" ht="25.15" customHeight="1">
      <c r="C85" s="38"/>
      <c r="D85" s="41"/>
      <c r="E85" s="41"/>
      <c r="F85" s="41"/>
      <c r="G85" s="41"/>
      <c r="H85" s="41"/>
      <c r="I85" s="41"/>
      <c r="J85" s="41"/>
      <c r="K85" s="41"/>
      <c r="L85" s="41"/>
      <c r="M85" s="41"/>
      <c r="N85" s="41"/>
      <c r="O85" s="41"/>
      <c r="P85" s="41"/>
      <c r="Q85" s="41"/>
      <c r="R85" s="42"/>
    </row>
    <row r="86" spans="2:19" ht="25.15" customHeight="1">
      <c r="B86" s="507" t="s">
        <v>413</v>
      </c>
      <c r="C86" s="507"/>
      <c r="D86" s="507"/>
      <c r="E86" s="507"/>
      <c r="F86" s="507"/>
      <c r="G86" s="507"/>
      <c r="H86" s="507"/>
      <c r="I86" s="507"/>
      <c r="J86" s="507"/>
      <c r="K86" s="507"/>
      <c r="L86" s="507"/>
      <c r="M86" s="507"/>
      <c r="N86" s="507"/>
      <c r="O86" s="507"/>
      <c r="P86" s="507"/>
      <c r="Q86" s="507"/>
      <c r="R86" s="507"/>
    </row>
    <row r="87" spans="2:19" ht="25.15" customHeight="1">
      <c r="B87" s="529" t="s">
        <v>414</v>
      </c>
      <c r="C87" s="529"/>
      <c r="D87" s="529"/>
      <c r="E87" s="529"/>
      <c r="F87" s="529"/>
      <c r="G87" s="529"/>
      <c r="H87" s="529"/>
      <c r="I87" s="529"/>
      <c r="J87" s="529"/>
      <c r="K87" s="529"/>
      <c r="L87" s="529"/>
      <c r="M87" s="529"/>
      <c r="N87" s="529"/>
      <c r="O87" s="529"/>
      <c r="P87" s="529"/>
      <c r="Q87" s="529"/>
      <c r="R87" s="529"/>
    </row>
    <row r="88" spans="2:19" ht="25.15" customHeight="1">
      <c r="B88" s="179"/>
      <c r="C88" s="179"/>
      <c r="D88" s="179"/>
      <c r="E88" s="179"/>
      <c r="F88" s="179"/>
      <c r="G88" s="179"/>
      <c r="H88" s="179"/>
      <c r="I88" s="179"/>
      <c r="J88" s="179"/>
      <c r="K88" s="179"/>
      <c r="L88" s="179"/>
      <c r="M88" s="179"/>
      <c r="N88" s="179"/>
      <c r="O88" s="179"/>
      <c r="P88" s="179"/>
      <c r="Q88" s="179"/>
      <c r="R88" s="145" t="s">
        <v>412</v>
      </c>
    </row>
    <row r="89" spans="2:19" ht="25.15" customHeight="1">
      <c r="B89" s="3" t="s">
        <v>67</v>
      </c>
      <c r="C89" s="88" t="s">
        <v>117</v>
      </c>
      <c r="D89" s="49">
        <v>2010</v>
      </c>
      <c r="E89" s="50">
        <v>2011</v>
      </c>
      <c r="F89" s="50">
        <v>2012</v>
      </c>
      <c r="G89" s="50">
        <v>2013</v>
      </c>
      <c r="H89" s="50">
        <v>2014</v>
      </c>
      <c r="I89" s="50">
        <v>2015</v>
      </c>
      <c r="J89" s="50">
        <v>2016</v>
      </c>
      <c r="K89" s="50">
        <v>2017</v>
      </c>
      <c r="L89" s="3">
        <v>2018</v>
      </c>
      <c r="M89" s="50">
        <v>2019</v>
      </c>
      <c r="N89" s="49">
        <v>2020</v>
      </c>
      <c r="O89" s="49">
        <v>2021</v>
      </c>
      <c r="P89" s="49" t="s">
        <v>185</v>
      </c>
      <c r="Q89" s="49" t="s">
        <v>186</v>
      </c>
      <c r="R89" s="3" t="s">
        <v>118</v>
      </c>
    </row>
    <row r="90" spans="2:19" ht="25.15" customHeight="1">
      <c r="B90" s="68"/>
      <c r="C90" s="36" t="s">
        <v>43</v>
      </c>
      <c r="D90" s="104">
        <f>SUM(D91:D99,D101:D102,D104:D106)</f>
        <v>275631.23101713823</v>
      </c>
      <c r="E90" s="104">
        <f t="shared" ref="E90:Q90" si="9">SUM(E91:E99,E101:E102,E104:E106)</f>
        <v>284102.00086326449</v>
      </c>
      <c r="F90" s="104">
        <f t="shared" si="9"/>
        <v>295324.98503765964</v>
      </c>
      <c r="G90" s="104">
        <f t="shared" si="9"/>
        <v>276260.23665255285</v>
      </c>
      <c r="H90" s="104">
        <f t="shared" si="9"/>
        <v>297327.0701828936</v>
      </c>
      <c r="I90" s="104">
        <f t="shared" si="9"/>
        <v>264081.86700374872</v>
      </c>
      <c r="J90" s="104">
        <f t="shared" si="9"/>
        <v>242791.30505178127</v>
      </c>
      <c r="K90" s="104">
        <f t="shared" si="9"/>
        <v>263517.32637577259</v>
      </c>
      <c r="L90" s="104">
        <f t="shared" si="9"/>
        <v>293726.59804858081</v>
      </c>
      <c r="M90" s="104">
        <f t="shared" si="9"/>
        <v>318300.52735521755</v>
      </c>
      <c r="N90" s="104">
        <f t="shared" si="9"/>
        <v>255089.14375898908</v>
      </c>
      <c r="O90" s="104">
        <f t="shared" si="9"/>
        <v>337333.72291644569</v>
      </c>
      <c r="P90" s="104">
        <f t="shared" si="9"/>
        <v>435782.44335239544</v>
      </c>
      <c r="Q90" s="104">
        <f t="shared" si="9"/>
        <v>460954.12183961755</v>
      </c>
      <c r="R90" s="186" t="s">
        <v>44</v>
      </c>
      <c r="S90" s="138"/>
    </row>
    <row r="91" spans="2:19" ht="25.15" customHeight="1">
      <c r="B91" s="121" t="s">
        <v>68</v>
      </c>
      <c r="C91" s="184" t="s">
        <v>45</v>
      </c>
      <c r="D91" s="282">
        <v>976.13917213536661</v>
      </c>
      <c r="E91" s="283">
        <v>1045.1295596859002</v>
      </c>
      <c r="F91" s="283">
        <v>1049.0825077550862</v>
      </c>
      <c r="G91" s="283">
        <v>1490.7495541286428</v>
      </c>
      <c r="H91" s="283">
        <v>1557.122330656088</v>
      </c>
      <c r="I91" s="283">
        <v>1233.1038102247189</v>
      </c>
      <c r="J91" s="284">
        <v>1203.8885798070744</v>
      </c>
      <c r="K91" s="283">
        <v>1621.9782637113724</v>
      </c>
      <c r="L91" s="283">
        <v>1709.3270528914272</v>
      </c>
      <c r="M91" s="283">
        <v>1985.6752321273877</v>
      </c>
      <c r="N91" s="283">
        <v>1941.065018788235</v>
      </c>
      <c r="O91" s="283">
        <v>2917.8767201978244</v>
      </c>
      <c r="P91" s="283">
        <v>3085.2590007511239</v>
      </c>
      <c r="Q91" s="283">
        <v>3130.4619506597946</v>
      </c>
      <c r="R91" s="37" t="s">
        <v>123</v>
      </c>
      <c r="S91" s="138"/>
    </row>
    <row r="92" spans="2:19" ht="27.75" customHeight="1">
      <c r="B92" s="121" t="s">
        <v>69</v>
      </c>
      <c r="C92" s="184" t="s">
        <v>46</v>
      </c>
      <c r="D92" s="282">
        <v>37079.976236679744</v>
      </c>
      <c r="E92" s="283">
        <v>28104.326906215963</v>
      </c>
      <c r="F92" s="283">
        <v>38672.931663220021</v>
      </c>
      <c r="G92" s="283">
        <v>31748.254481469077</v>
      </c>
      <c r="H92" s="283">
        <v>33405.515079751021</v>
      </c>
      <c r="I92" s="283">
        <v>48199.066208710625</v>
      </c>
      <c r="J92" s="284">
        <v>64965.029089935422</v>
      </c>
      <c r="K92" s="283">
        <v>38489.886381978933</v>
      </c>
      <c r="L92" s="283">
        <v>51042.955234153582</v>
      </c>
      <c r="M92" s="283">
        <v>56677.385014519234</v>
      </c>
      <c r="N92" s="283">
        <v>52487.878818567551</v>
      </c>
      <c r="O92" s="283">
        <v>69494.725918506956</v>
      </c>
      <c r="P92" s="283">
        <v>80147.817226787069</v>
      </c>
      <c r="Q92" s="283">
        <v>80703.199075376891</v>
      </c>
      <c r="R92" s="37" t="s">
        <v>124</v>
      </c>
      <c r="S92" s="138"/>
    </row>
    <row r="93" spans="2:19" ht="25.15" customHeight="1">
      <c r="B93" s="121" t="s">
        <v>70</v>
      </c>
      <c r="C93" s="184" t="s">
        <v>13</v>
      </c>
      <c r="D93" s="282">
        <v>54988.1032806679</v>
      </c>
      <c r="E93" s="283">
        <v>55980.068130938584</v>
      </c>
      <c r="F93" s="283">
        <v>65213.743685911984</v>
      </c>
      <c r="G93" s="283">
        <v>43256.428821094429</v>
      </c>
      <c r="H93" s="283">
        <v>38058.908981952445</v>
      </c>
      <c r="I93" s="283">
        <v>29530.605233384704</v>
      </c>
      <c r="J93" s="284">
        <v>27894.314905749372</v>
      </c>
      <c r="K93" s="283">
        <v>33195.407741742725</v>
      </c>
      <c r="L93" s="283">
        <v>40281.041729690623</v>
      </c>
      <c r="M93" s="283">
        <v>41697.713898424656</v>
      </c>
      <c r="N93" s="283">
        <v>27661.763514423386</v>
      </c>
      <c r="O93" s="283">
        <v>39121.261454140535</v>
      </c>
      <c r="P93" s="283">
        <v>56963.087749677361</v>
      </c>
      <c r="Q93" s="283">
        <v>59454.148988152112</v>
      </c>
      <c r="R93" s="37" t="s">
        <v>47</v>
      </c>
      <c r="S93" s="138"/>
    </row>
    <row r="94" spans="2:19" ht="25.15" customHeight="1">
      <c r="B94" s="121" t="s">
        <v>71</v>
      </c>
      <c r="C94" s="184" t="s">
        <v>48</v>
      </c>
      <c r="D94" s="282">
        <v>28493.547523944362</v>
      </c>
      <c r="E94" s="283">
        <v>27344.51161790315</v>
      </c>
      <c r="F94" s="283">
        <v>17865.448472480231</v>
      </c>
      <c r="G94" s="283">
        <v>22644.453062241053</v>
      </c>
      <c r="H94" s="283">
        <v>24358.42948732592</v>
      </c>
      <c r="I94" s="283">
        <v>17898.224126261808</v>
      </c>
      <c r="J94" s="284">
        <v>11861.377157403567</v>
      </c>
      <c r="K94" s="283">
        <v>20261.865145562857</v>
      </c>
      <c r="L94" s="283">
        <v>22623.817720296753</v>
      </c>
      <c r="M94" s="283">
        <v>20997.348291886519</v>
      </c>
      <c r="N94" s="283">
        <v>21743.028521966819</v>
      </c>
      <c r="O94" s="283">
        <v>20504.139770366095</v>
      </c>
      <c r="P94" s="283">
        <v>29534.284824312504</v>
      </c>
      <c r="Q94" s="283">
        <v>31657.457870680562</v>
      </c>
      <c r="R94" s="37" t="s">
        <v>125</v>
      </c>
      <c r="S94" s="138"/>
    </row>
    <row r="95" spans="2:19" ht="25.15" customHeight="1">
      <c r="B95" s="121" t="s">
        <v>72</v>
      </c>
      <c r="C95" s="184" t="s">
        <v>14</v>
      </c>
      <c r="D95" s="282">
        <v>19265.453214129695</v>
      </c>
      <c r="E95" s="283">
        <v>15996.800868013821</v>
      </c>
      <c r="F95" s="283">
        <v>15322.175965098168</v>
      </c>
      <c r="G95" s="283">
        <v>12375.581069415901</v>
      </c>
      <c r="H95" s="283">
        <v>12889.583632307673</v>
      </c>
      <c r="I95" s="283">
        <v>10275.186956662828</v>
      </c>
      <c r="J95" s="284">
        <v>7800.9537881385113</v>
      </c>
      <c r="K95" s="283">
        <v>10186.451195050842</v>
      </c>
      <c r="L95" s="283">
        <v>11563.11801525553</v>
      </c>
      <c r="M95" s="283">
        <v>13723.706581384449</v>
      </c>
      <c r="N95" s="283">
        <v>9791.6072123575887</v>
      </c>
      <c r="O95" s="283">
        <v>11693.941819750729</v>
      </c>
      <c r="P95" s="283">
        <v>15665.490763520418</v>
      </c>
      <c r="Q95" s="283">
        <v>16250.440869788261</v>
      </c>
      <c r="R95" s="37" t="s">
        <v>49</v>
      </c>
    </row>
    <row r="96" spans="2:19" ht="25.15" customHeight="1">
      <c r="B96" s="121" t="s">
        <v>73</v>
      </c>
      <c r="C96" s="184" t="s">
        <v>50</v>
      </c>
      <c r="D96" s="282">
        <v>17257.234088169782</v>
      </c>
      <c r="E96" s="283">
        <v>19781.256883610968</v>
      </c>
      <c r="F96" s="283">
        <v>20724.866244401575</v>
      </c>
      <c r="G96" s="283">
        <v>27588.230195336055</v>
      </c>
      <c r="H96" s="283">
        <v>27753.115873410316</v>
      </c>
      <c r="I96" s="283">
        <v>25114.67767638747</v>
      </c>
      <c r="J96" s="284">
        <v>19326.636281145991</v>
      </c>
      <c r="K96" s="283">
        <v>22464.395257908258</v>
      </c>
      <c r="L96" s="283">
        <v>27494.833214843638</v>
      </c>
      <c r="M96" s="283">
        <v>25354.747987718896</v>
      </c>
      <c r="N96" s="283">
        <v>21705.380564174833</v>
      </c>
      <c r="O96" s="283">
        <v>32191.647966526434</v>
      </c>
      <c r="P96" s="283">
        <v>55229.014865631121</v>
      </c>
      <c r="Q96" s="283">
        <v>57180.23155884695</v>
      </c>
      <c r="R96" s="37" t="s">
        <v>126</v>
      </c>
    </row>
    <row r="97" spans="2:19" ht="25.15" customHeight="1">
      <c r="B97" s="121" t="s">
        <v>74</v>
      </c>
      <c r="C97" s="184" t="s">
        <v>51</v>
      </c>
      <c r="D97" s="282">
        <v>37902.621279260027</v>
      </c>
      <c r="E97" s="283">
        <v>43471.171852140367</v>
      </c>
      <c r="F97" s="283">
        <v>43698.031609246638</v>
      </c>
      <c r="G97" s="283">
        <v>48478.428342225001</v>
      </c>
      <c r="H97" s="283">
        <v>61521.78253172151</v>
      </c>
      <c r="I97" s="283">
        <v>43057.341362091574</v>
      </c>
      <c r="J97" s="284">
        <v>27646.012271793312</v>
      </c>
      <c r="K97" s="283">
        <v>36133.810516200923</v>
      </c>
      <c r="L97" s="283">
        <v>34603.935158075292</v>
      </c>
      <c r="M97" s="283">
        <v>46465.927098428503</v>
      </c>
      <c r="N97" s="283">
        <v>25555.485594597874</v>
      </c>
      <c r="O97" s="283">
        <v>28690.568750302577</v>
      </c>
      <c r="P97" s="283">
        <v>49261.51966373832</v>
      </c>
      <c r="Q97" s="283">
        <v>54856.385325187497</v>
      </c>
      <c r="R97" s="37" t="s">
        <v>127</v>
      </c>
    </row>
    <row r="98" spans="2:19" ht="25.15" customHeight="1">
      <c r="B98" s="121" t="s">
        <v>75</v>
      </c>
      <c r="C98" s="184" t="s">
        <v>52</v>
      </c>
      <c r="D98" s="282">
        <v>5511.3086795841973</v>
      </c>
      <c r="E98" s="283">
        <v>7139.0215691678086</v>
      </c>
      <c r="F98" s="283">
        <v>8928.1981584787718</v>
      </c>
      <c r="G98" s="283">
        <v>8054.5306438545604</v>
      </c>
      <c r="H98" s="283">
        <v>8522.6621321227522</v>
      </c>
      <c r="I98" s="283">
        <v>6776.2990287702341</v>
      </c>
      <c r="J98" s="284">
        <v>7986.1740561984789</v>
      </c>
      <c r="K98" s="283">
        <v>6755.0811754932165</v>
      </c>
      <c r="L98" s="283">
        <v>8036.3456006691376</v>
      </c>
      <c r="M98" s="283">
        <v>7802.4916913543484</v>
      </c>
      <c r="N98" s="283">
        <v>5205.2072973271806</v>
      </c>
      <c r="O98" s="283">
        <v>7234.1484290069711</v>
      </c>
      <c r="P98" s="283">
        <v>17843.229683346628</v>
      </c>
      <c r="Q98" s="283">
        <v>19139.938751596343</v>
      </c>
      <c r="R98" s="37" t="s">
        <v>128</v>
      </c>
      <c r="S98" s="157"/>
    </row>
    <row r="99" spans="2:19" ht="25.15" customHeight="1">
      <c r="B99" s="121" t="s">
        <v>76</v>
      </c>
      <c r="C99" s="184" t="s">
        <v>53</v>
      </c>
      <c r="D99" s="282">
        <v>8549.3378748749183</v>
      </c>
      <c r="E99" s="283">
        <v>12449.267185796705</v>
      </c>
      <c r="F99" s="283">
        <v>11708.284312681646</v>
      </c>
      <c r="G99" s="283">
        <v>8090.544887023726</v>
      </c>
      <c r="H99" s="283">
        <v>7872.4295907841379</v>
      </c>
      <c r="I99" s="283">
        <v>8653.6989460804543</v>
      </c>
      <c r="J99" s="284">
        <v>6257.8231269384141</v>
      </c>
      <c r="K99" s="283">
        <v>8250.5613800027459</v>
      </c>
      <c r="L99" s="283">
        <v>9461.7797131628195</v>
      </c>
      <c r="M99" s="283">
        <v>10504.913902226876</v>
      </c>
      <c r="N99" s="283">
        <v>9424.8708163191968</v>
      </c>
      <c r="O99" s="283">
        <v>13954.494213800537</v>
      </c>
      <c r="P99" s="283">
        <v>9636.2678681007255</v>
      </c>
      <c r="Q99" s="283">
        <v>10265.264412259998</v>
      </c>
      <c r="R99" s="37" t="s">
        <v>129</v>
      </c>
      <c r="S99" s="138"/>
    </row>
    <row r="100" spans="2:19" ht="25.15" customHeight="1">
      <c r="B100" s="121" t="s">
        <v>77</v>
      </c>
      <c r="C100" s="185" t="s">
        <v>54</v>
      </c>
      <c r="D100" s="60">
        <v>9882.2754364373195</v>
      </c>
      <c r="E100" s="276">
        <v>6809.6130519919398</v>
      </c>
      <c r="F100" s="276">
        <v>7855.9495004540931</v>
      </c>
      <c r="G100" s="276">
        <v>4348.5974901780755</v>
      </c>
      <c r="H100" s="276">
        <v>4630.5982316801337</v>
      </c>
      <c r="I100" s="276">
        <v>4670.7774099464059</v>
      </c>
      <c r="J100" s="156">
        <v>4709.3785799642283</v>
      </c>
      <c r="K100" s="276">
        <v>4681.4314810307933</v>
      </c>
      <c r="L100" s="276">
        <v>4397.7410701134322</v>
      </c>
      <c r="M100" s="276">
        <v>5403.8073029963734</v>
      </c>
      <c r="N100" s="276">
        <v>7248.9285108262056</v>
      </c>
      <c r="O100" s="276">
        <v>8102.8701917580966</v>
      </c>
      <c r="P100" s="276">
        <v>14756.83201613169</v>
      </c>
      <c r="Q100" s="276">
        <v>15691.847969902428</v>
      </c>
      <c r="R100" s="186" t="s">
        <v>55</v>
      </c>
      <c r="S100" s="138"/>
    </row>
    <row r="101" spans="2:19" ht="25.15" customHeight="1">
      <c r="B101" s="121" t="s">
        <v>78</v>
      </c>
      <c r="C101" s="184" t="s">
        <v>56</v>
      </c>
      <c r="D101" s="282">
        <v>42632.009329538298</v>
      </c>
      <c r="E101" s="283">
        <v>43785.54205394187</v>
      </c>
      <c r="F101" s="283">
        <v>48697.758549489125</v>
      </c>
      <c r="G101" s="283">
        <v>45026.826635968391</v>
      </c>
      <c r="H101" s="283">
        <v>52831.637926005402</v>
      </c>
      <c r="I101" s="283">
        <v>49633.87020689185</v>
      </c>
      <c r="J101" s="284">
        <v>46758.5945177799</v>
      </c>
      <c r="K101" s="283">
        <v>61183.506144546947</v>
      </c>
      <c r="L101" s="283">
        <v>59537.907574880752</v>
      </c>
      <c r="M101" s="283">
        <v>64178.52751727069</v>
      </c>
      <c r="N101" s="283">
        <v>56499.094525041626</v>
      </c>
      <c r="O101" s="283">
        <v>76121.311752620357</v>
      </c>
      <c r="P101" s="283">
        <v>80075.543212541204</v>
      </c>
      <c r="Q101" s="283">
        <v>88295.79525986065</v>
      </c>
      <c r="R101" s="37" t="s">
        <v>130</v>
      </c>
      <c r="S101" s="138"/>
    </row>
    <row r="102" spans="2:19" ht="25.15" customHeight="1">
      <c r="B102" s="121" t="s">
        <v>205</v>
      </c>
      <c r="C102" s="184" t="s">
        <v>188</v>
      </c>
      <c r="D102" s="282">
        <v>10160.149531912783</v>
      </c>
      <c r="E102" s="283">
        <v>8294.0516290012965</v>
      </c>
      <c r="F102" s="283">
        <v>10055.585923596655</v>
      </c>
      <c r="G102" s="283">
        <v>10772.697196928331</v>
      </c>
      <c r="H102" s="283">
        <v>11580.85896444681</v>
      </c>
      <c r="I102" s="283">
        <v>10494.089500920387</v>
      </c>
      <c r="J102" s="284">
        <v>10095.592463479099</v>
      </c>
      <c r="K102" s="283">
        <v>10910.779907379378</v>
      </c>
      <c r="L102" s="283">
        <v>12390.606378247143</v>
      </c>
      <c r="M102" s="283">
        <v>13578.274296334728</v>
      </c>
      <c r="N102" s="283">
        <v>11572.902037255133</v>
      </c>
      <c r="O102" s="283">
        <v>18141.612465869057</v>
      </c>
      <c r="P102" s="283">
        <v>16010.602684487363</v>
      </c>
      <c r="Q102" s="283">
        <v>16422.199136809118</v>
      </c>
      <c r="R102" s="37" t="s">
        <v>206</v>
      </c>
      <c r="S102" s="138"/>
    </row>
    <row r="103" spans="2:19" ht="25.15" customHeight="1">
      <c r="B103" s="121" t="s">
        <v>79</v>
      </c>
      <c r="C103" s="185" t="s">
        <v>57</v>
      </c>
      <c r="D103" s="282">
        <v>41321.201537113782</v>
      </c>
      <c r="E103" s="283">
        <v>44703.868880591326</v>
      </c>
      <c r="F103" s="283">
        <v>34681.34876340528</v>
      </c>
      <c r="G103" s="283">
        <v>37427.076738657597</v>
      </c>
      <c r="H103" s="283">
        <v>43276.384015869939</v>
      </c>
      <c r="I103" s="283">
        <v>34857.645385852986</v>
      </c>
      <c r="J103" s="284">
        <v>45897.816301487328</v>
      </c>
      <c r="K103" s="283">
        <v>37014.233901123509</v>
      </c>
      <c r="L103" s="283">
        <v>44253.869102495875</v>
      </c>
      <c r="M103" s="283">
        <v>45775.270620646334</v>
      </c>
      <c r="N103" s="283">
        <v>37073.805556966909</v>
      </c>
      <c r="O103" s="283">
        <v>48359.370167414454</v>
      </c>
      <c r="P103" s="283">
        <v>38872.699999999997</v>
      </c>
      <c r="Q103" s="283">
        <v>34638.058626749786</v>
      </c>
      <c r="R103" s="186" t="s">
        <v>131</v>
      </c>
      <c r="S103" s="138"/>
    </row>
    <row r="104" spans="2:19" ht="25.15" customHeight="1">
      <c r="B104" s="121" t="s">
        <v>80</v>
      </c>
      <c r="C104" s="184" t="s">
        <v>58</v>
      </c>
      <c r="D104" s="60">
        <v>5066.3733372171309</v>
      </c>
      <c r="E104" s="276">
        <v>11537.593744704389</v>
      </c>
      <c r="F104" s="276">
        <v>3889.9232457127905</v>
      </c>
      <c r="G104" s="276">
        <v>5057.5132039905284</v>
      </c>
      <c r="H104" s="276">
        <v>4529.1266021353113</v>
      </c>
      <c r="I104" s="276">
        <v>4483.3545039501714</v>
      </c>
      <c r="J104" s="156">
        <v>3577.5173993376538</v>
      </c>
      <c r="K104" s="276">
        <v>5438.7359775607865</v>
      </c>
      <c r="L104" s="276">
        <v>5749.4985057455133</v>
      </c>
      <c r="M104" s="276">
        <v>6827.9313097775894</v>
      </c>
      <c r="N104" s="276">
        <v>4991.7412022852632</v>
      </c>
      <c r="O104" s="276">
        <v>7360.0192948836266</v>
      </c>
      <c r="P104" s="276">
        <v>5615.5287189954997</v>
      </c>
      <c r="Q104" s="276">
        <v>5871.0455271709397</v>
      </c>
      <c r="R104" s="37" t="s">
        <v>59</v>
      </c>
      <c r="S104" s="138"/>
    </row>
    <row r="105" spans="2:19" ht="25.15" customHeight="1">
      <c r="B105" s="121" t="s">
        <v>81</v>
      </c>
      <c r="C105" s="184" t="s">
        <v>60</v>
      </c>
      <c r="D105" s="282">
        <v>5040.4194235789773</v>
      </c>
      <c r="E105" s="283">
        <v>6390.7552922678778</v>
      </c>
      <c r="F105" s="283">
        <v>6780.3323244139565</v>
      </c>
      <c r="G105" s="283">
        <v>8185.4748090473449</v>
      </c>
      <c r="H105" s="283">
        <v>8808.4114367699713</v>
      </c>
      <c r="I105" s="283">
        <v>5460.6514029555356</v>
      </c>
      <c r="J105" s="284">
        <v>3937.6702085984703</v>
      </c>
      <c r="K105" s="283">
        <v>4432.3813383718425</v>
      </c>
      <c r="L105" s="283">
        <v>4706.9350955104719</v>
      </c>
      <c r="M105" s="283">
        <v>4496.2170756447458</v>
      </c>
      <c r="N105" s="283">
        <v>3072.035972291033</v>
      </c>
      <c r="O105" s="283">
        <v>5088.79980490874</v>
      </c>
      <c r="P105" s="283">
        <v>8283.7955224451252</v>
      </c>
      <c r="Q105" s="283">
        <v>8871.899695025686</v>
      </c>
      <c r="R105" s="37" t="s">
        <v>132</v>
      </c>
      <c r="S105" s="138"/>
    </row>
    <row r="106" spans="2:19" ht="25.15" customHeight="1">
      <c r="B106" s="121" t="s">
        <v>82</v>
      </c>
      <c r="C106" s="184" t="s">
        <v>61</v>
      </c>
      <c r="D106" s="282">
        <v>2708.558045445031</v>
      </c>
      <c r="E106" s="283">
        <v>2782.503569875762</v>
      </c>
      <c r="F106" s="283">
        <v>2718.6223751730363</v>
      </c>
      <c r="G106" s="283">
        <v>3490.5237498298616</v>
      </c>
      <c r="H106" s="283">
        <v>3637.4856135042442</v>
      </c>
      <c r="I106" s="283">
        <v>3271.6980404563737</v>
      </c>
      <c r="J106" s="284">
        <v>3479.7212054759652</v>
      </c>
      <c r="K106" s="283">
        <v>4192.4859502617865</v>
      </c>
      <c r="L106" s="283">
        <v>4524.4970551581664</v>
      </c>
      <c r="M106" s="283">
        <v>4009.6674581189227</v>
      </c>
      <c r="N106" s="283">
        <v>3437.0826635933895</v>
      </c>
      <c r="O106" s="283">
        <v>4819.1745555652324</v>
      </c>
      <c r="P106" s="283">
        <v>8431.0015680610013</v>
      </c>
      <c r="Q106" s="283">
        <v>8855.653418202839</v>
      </c>
      <c r="R106" s="37" t="s">
        <v>133</v>
      </c>
      <c r="S106" s="138"/>
    </row>
    <row r="107" spans="2:19" ht="25.15" customHeight="1">
      <c r="B107" s="122" t="s">
        <v>83</v>
      </c>
      <c r="C107" s="188" t="s">
        <v>114</v>
      </c>
      <c r="D107" s="282">
        <v>0</v>
      </c>
      <c r="E107" s="283">
        <v>0</v>
      </c>
      <c r="F107" s="283">
        <v>0</v>
      </c>
      <c r="G107" s="283">
        <v>0</v>
      </c>
      <c r="H107" s="283">
        <v>0</v>
      </c>
      <c r="I107" s="283">
        <v>0</v>
      </c>
      <c r="J107" s="284">
        <v>0</v>
      </c>
      <c r="K107" s="283">
        <v>0</v>
      </c>
      <c r="L107" s="283">
        <v>0</v>
      </c>
      <c r="M107" s="283">
        <v>0</v>
      </c>
      <c r="N107" s="283">
        <v>0</v>
      </c>
      <c r="O107" s="283">
        <v>0</v>
      </c>
      <c r="P107" s="283">
        <v>0</v>
      </c>
      <c r="Q107" s="283">
        <v>0</v>
      </c>
      <c r="R107" s="186" t="s">
        <v>134</v>
      </c>
      <c r="S107" s="138"/>
    </row>
    <row r="108" spans="2:19" ht="25.15" customHeight="1">
      <c r="B108" s="537" t="s">
        <v>0</v>
      </c>
      <c r="C108" s="537"/>
      <c r="D108" s="105">
        <f>SUM(D91:D107)</f>
        <v>326834.70799068932</v>
      </c>
      <c r="E108" s="105">
        <f t="shared" ref="E108:Q108" si="10">SUM(E91:E107)</f>
        <v>335615.48279584775</v>
      </c>
      <c r="F108" s="105">
        <f t="shared" si="10"/>
        <v>337862.283301519</v>
      </c>
      <c r="G108" s="105">
        <f t="shared" si="10"/>
        <v>318035.91088138853</v>
      </c>
      <c r="H108" s="105">
        <f t="shared" si="10"/>
        <v>345234.0524304437</v>
      </c>
      <c r="I108" s="105">
        <f t="shared" si="10"/>
        <v>303610.28979954816</v>
      </c>
      <c r="J108" s="105">
        <f t="shared" si="10"/>
        <v>293398.49993323284</v>
      </c>
      <c r="K108" s="105">
        <f t="shared" si="10"/>
        <v>305212.99175792688</v>
      </c>
      <c r="L108" s="105">
        <f t="shared" si="10"/>
        <v>342378.2082211902</v>
      </c>
      <c r="M108" s="105">
        <f t="shared" si="10"/>
        <v>369479.60527886031</v>
      </c>
      <c r="N108" s="105">
        <f t="shared" si="10"/>
        <v>299411.87782678223</v>
      </c>
      <c r="O108" s="105">
        <f t="shared" si="10"/>
        <v>393795.96327561827</v>
      </c>
      <c r="P108" s="105">
        <f t="shared" si="10"/>
        <v>489411.97536852711</v>
      </c>
      <c r="Q108" s="105">
        <f t="shared" si="10"/>
        <v>511284.02843626979</v>
      </c>
      <c r="R108" s="24" t="s">
        <v>19</v>
      </c>
      <c r="S108" s="176"/>
    </row>
    <row r="109" spans="2:19" ht="25.15" customHeight="1" thickBot="1">
      <c r="B109" s="538" t="s">
        <v>62</v>
      </c>
      <c r="C109" s="538"/>
      <c r="D109" s="92">
        <f>D108-D92</f>
        <v>289754.73175400955</v>
      </c>
      <c r="E109" s="92">
        <f t="shared" ref="E109:Q109" si="11">E108-E92</f>
        <v>307511.15588963177</v>
      </c>
      <c r="F109" s="92">
        <f t="shared" si="11"/>
        <v>299189.35163829895</v>
      </c>
      <c r="G109" s="92">
        <f t="shared" si="11"/>
        <v>286287.65639991942</v>
      </c>
      <c r="H109" s="92">
        <f t="shared" si="11"/>
        <v>311828.53735069267</v>
      </c>
      <c r="I109" s="92">
        <f t="shared" si="11"/>
        <v>255411.22359083753</v>
      </c>
      <c r="J109" s="92">
        <f t="shared" si="11"/>
        <v>228433.47084329743</v>
      </c>
      <c r="K109" s="92">
        <f t="shared" si="11"/>
        <v>266723.10537594795</v>
      </c>
      <c r="L109" s="92">
        <f t="shared" si="11"/>
        <v>291335.2529870366</v>
      </c>
      <c r="M109" s="92">
        <f t="shared" si="11"/>
        <v>312802.2202643411</v>
      </c>
      <c r="N109" s="92">
        <f t="shared" si="11"/>
        <v>246923.99900821468</v>
      </c>
      <c r="O109" s="92">
        <f t="shared" si="11"/>
        <v>324301.2373571113</v>
      </c>
      <c r="P109" s="92">
        <f t="shared" si="11"/>
        <v>409264.15814174002</v>
      </c>
      <c r="Q109" s="92">
        <f t="shared" si="11"/>
        <v>430580.82936089288</v>
      </c>
      <c r="R109" s="159" t="s">
        <v>63</v>
      </c>
      <c r="S109" s="176"/>
    </row>
    <row r="110" spans="2:19" ht="24.95" customHeight="1">
      <c r="B110" s="534" t="s">
        <v>326</v>
      </c>
      <c r="C110" s="534"/>
      <c r="D110" s="31"/>
      <c r="E110" s="31"/>
      <c r="F110" s="31"/>
      <c r="G110" s="31"/>
      <c r="H110" s="31"/>
      <c r="I110" s="31"/>
      <c r="J110" s="31"/>
      <c r="K110" s="31"/>
      <c r="L110" s="31"/>
      <c r="M110" s="31"/>
      <c r="N110" s="31"/>
      <c r="O110" s="31"/>
      <c r="P110" s="31"/>
      <c r="Q110" s="31"/>
      <c r="R110" s="313" t="s">
        <v>327</v>
      </c>
    </row>
    <row r="111" spans="2:19" ht="24.95" customHeight="1">
      <c r="B111" s="535" t="s">
        <v>191</v>
      </c>
      <c r="C111" s="535"/>
      <c r="D111" s="11"/>
      <c r="E111" s="11"/>
      <c r="F111" s="11"/>
      <c r="G111" s="11"/>
      <c r="H111" s="11"/>
      <c r="I111" s="11"/>
      <c r="J111" s="11"/>
      <c r="K111" s="11"/>
      <c r="L111" s="11"/>
      <c r="M111" s="11"/>
      <c r="N111" s="11"/>
      <c r="O111" s="11"/>
      <c r="P111" s="11"/>
      <c r="Q111" s="11"/>
      <c r="R111" s="313" t="s">
        <v>193</v>
      </c>
    </row>
    <row r="112" spans="2:19" ht="24.95" customHeight="1">
      <c r="B112" s="81" t="s">
        <v>192</v>
      </c>
      <c r="C112" s="81"/>
      <c r="D112" s="78"/>
      <c r="E112" s="78"/>
      <c r="F112" s="78"/>
      <c r="G112" s="78"/>
      <c r="H112" s="78"/>
      <c r="I112" s="78"/>
      <c r="J112" s="78"/>
      <c r="K112" s="78"/>
      <c r="L112" s="78"/>
      <c r="M112" s="78"/>
      <c r="N112" s="78"/>
      <c r="O112" s="78"/>
      <c r="P112" s="78"/>
      <c r="Q112" s="78"/>
      <c r="R112" s="81" t="s">
        <v>551</v>
      </c>
    </row>
    <row r="113" spans="2:19" ht="24.95" customHeight="1"/>
    <row r="114" spans="2:19" ht="25.15" customHeight="1">
      <c r="B114" s="507" t="s">
        <v>415</v>
      </c>
      <c r="C114" s="507"/>
      <c r="D114" s="507"/>
      <c r="E114" s="507"/>
      <c r="F114" s="507"/>
      <c r="G114" s="507"/>
      <c r="H114" s="507"/>
      <c r="I114" s="507"/>
      <c r="J114" s="507"/>
      <c r="K114" s="507"/>
      <c r="L114" s="507"/>
      <c r="M114" s="507"/>
      <c r="N114" s="507"/>
      <c r="O114" s="507"/>
      <c r="P114" s="507"/>
      <c r="Q114" s="507"/>
      <c r="R114" s="507"/>
    </row>
    <row r="115" spans="2:19" ht="25.15" customHeight="1">
      <c r="B115" s="529" t="s">
        <v>416</v>
      </c>
      <c r="C115" s="529"/>
      <c r="D115" s="529"/>
      <c r="E115" s="529"/>
      <c r="F115" s="529"/>
      <c r="G115" s="529"/>
      <c r="H115" s="529"/>
      <c r="I115" s="529"/>
      <c r="J115" s="529"/>
      <c r="K115" s="529"/>
      <c r="L115" s="529"/>
      <c r="M115" s="529"/>
      <c r="N115" s="529"/>
      <c r="O115" s="529"/>
      <c r="P115" s="529"/>
      <c r="Q115" s="529"/>
      <c r="R115" s="529"/>
    </row>
    <row r="116" spans="2:19" ht="25.15" customHeight="1">
      <c r="B116" s="179"/>
      <c r="C116" s="179"/>
      <c r="D116" s="179"/>
      <c r="E116" s="179"/>
      <c r="F116" s="179"/>
      <c r="G116" s="179"/>
      <c r="H116" s="179"/>
      <c r="I116" s="179"/>
      <c r="J116" s="179"/>
      <c r="K116" s="179"/>
      <c r="L116" s="179"/>
      <c r="M116" s="179"/>
      <c r="N116" s="179"/>
      <c r="O116" s="179"/>
      <c r="P116" s="179"/>
      <c r="Q116" s="179"/>
      <c r="R116" s="211" t="s">
        <v>204</v>
      </c>
    </row>
    <row r="117" spans="2:19" ht="25.15" customHeight="1">
      <c r="B117" s="3" t="s">
        <v>67</v>
      </c>
      <c r="C117" s="88" t="s">
        <v>117</v>
      </c>
      <c r="D117" s="49">
        <v>2010</v>
      </c>
      <c r="E117" s="50">
        <v>2011</v>
      </c>
      <c r="F117" s="50">
        <v>2012</v>
      </c>
      <c r="G117" s="50">
        <v>2013</v>
      </c>
      <c r="H117" s="50">
        <v>2014</v>
      </c>
      <c r="I117" s="50">
        <v>2015</v>
      </c>
      <c r="J117" s="50">
        <v>2016</v>
      </c>
      <c r="K117" s="50">
        <v>2017</v>
      </c>
      <c r="L117" s="3">
        <v>2018</v>
      </c>
      <c r="M117" s="50">
        <v>2019</v>
      </c>
      <c r="N117" s="49">
        <v>2020</v>
      </c>
      <c r="O117" s="49">
        <v>2021</v>
      </c>
      <c r="P117" s="49" t="s">
        <v>185</v>
      </c>
      <c r="Q117" s="49" t="s">
        <v>186</v>
      </c>
      <c r="R117" s="3" t="s">
        <v>118</v>
      </c>
    </row>
    <row r="118" spans="2:19" ht="25.15" customHeight="1">
      <c r="B118" s="68"/>
      <c r="C118" s="36" t="s">
        <v>102</v>
      </c>
      <c r="D118" s="104">
        <v>456104.85548899067</v>
      </c>
      <c r="E118" s="104">
        <v>553815.018689355</v>
      </c>
      <c r="F118" s="104">
        <v>580400.69662454841</v>
      </c>
      <c r="G118" s="104">
        <v>584766.50017816713</v>
      </c>
      <c r="H118" s="104">
        <v>606191.49632535852</v>
      </c>
      <c r="I118" s="104">
        <v>560781.95879065851</v>
      </c>
      <c r="J118" s="104">
        <v>561055.06209928531</v>
      </c>
      <c r="K118" s="104">
        <v>596842.96292434074</v>
      </c>
      <c r="L118" s="104">
        <v>647888.55160083377</v>
      </c>
      <c r="M118" s="104">
        <v>639137.83808352053</v>
      </c>
      <c r="N118" s="104">
        <v>545005.49965288723</v>
      </c>
      <c r="O118" s="104">
        <v>657226.58959192468</v>
      </c>
      <c r="P118" s="104">
        <v>800077.11506710202</v>
      </c>
      <c r="Q118" s="104">
        <v>824776.37697838456</v>
      </c>
      <c r="R118" s="186" t="s">
        <v>44</v>
      </c>
      <c r="S118" s="138"/>
    </row>
    <row r="119" spans="2:19" ht="25.15" customHeight="1">
      <c r="B119" s="121" t="s">
        <v>68</v>
      </c>
      <c r="C119" s="184" t="s">
        <v>45</v>
      </c>
      <c r="D119" s="304">
        <v>3868.5663471201342</v>
      </c>
      <c r="E119" s="304">
        <v>4142.3239901513598</v>
      </c>
      <c r="F119" s="304">
        <v>4285.1833614170509</v>
      </c>
      <c r="G119" s="304">
        <v>4534.8398617776811</v>
      </c>
      <c r="H119" s="304">
        <v>4692.9486795247358</v>
      </c>
      <c r="I119" s="304">
        <v>4879.733009085443</v>
      </c>
      <c r="J119" s="304">
        <v>5014.9269671519432</v>
      </c>
      <c r="K119" s="304">
        <v>5262.6065592159575</v>
      </c>
      <c r="L119" s="304">
        <v>5366.6730394317856</v>
      </c>
      <c r="M119" s="304">
        <v>5569.6665581431416</v>
      </c>
      <c r="N119" s="304">
        <v>5928.2990554372482</v>
      </c>
      <c r="O119" s="304">
        <v>7054.2013570301715</v>
      </c>
      <c r="P119" s="304">
        <v>6312.4695720683085</v>
      </c>
      <c r="Q119" s="304">
        <v>6479.479620714369</v>
      </c>
      <c r="R119" s="37" t="s">
        <v>123</v>
      </c>
      <c r="S119" s="138"/>
    </row>
    <row r="120" spans="2:19" ht="25.15" customHeight="1">
      <c r="B120" s="121" t="s">
        <v>69</v>
      </c>
      <c r="C120" s="184" t="s">
        <v>46</v>
      </c>
      <c r="D120" s="304">
        <v>93432.141872653461</v>
      </c>
      <c r="E120" s="304">
        <v>140378.00994892381</v>
      </c>
      <c r="F120" s="304">
        <v>150309.60949365623</v>
      </c>
      <c r="G120" s="304">
        <v>149634.69513529693</v>
      </c>
      <c r="H120" s="304">
        <v>144172.62435773175</v>
      </c>
      <c r="I120" s="304">
        <v>86667.823698146094</v>
      </c>
      <c r="J120" s="304">
        <v>77082.668482952882</v>
      </c>
      <c r="K120" s="304">
        <v>94297.885006832556</v>
      </c>
      <c r="L120" s="304">
        <v>121653.16752747158</v>
      </c>
      <c r="M120" s="304">
        <v>104847.65644444089</v>
      </c>
      <c r="N120" s="304">
        <v>68539.983262397625</v>
      </c>
      <c r="O120" s="304">
        <v>112136.64235072593</v>
      </c>
      <c r="P120" s="304">
        <v>166716.51099011567</v>
      </c>
      <c r="Q120" s="304">
        <v>140703.9896355845</v>
      </c>
      <c r="R120" s="37" t="s">
        <v>124</v>
      </c>
      <c r="S120" s="138"/>
    </row>
    <row r="121" spans="2:19" ht="25.15" customHeight="1">
      <c r="B121" s="121" t="s">
        <v>70</v>
      </c>
      <c r="C121" s="184" t="s">
        <v>13</v>
      </c>
      <c r="D121" s="304">
        <v>87522.632809678573</v>
      </c>
      <c r="E121" s="304">
        <v>104048.86897370705</v>
      </c>
      <c r="F121" s="304">
        <v>109453.46414434494</v>
      </c>
      <c r="G121" s="304">
        <v>110835.06320342999</v>
      </c>
      <c r="H121" s="304">
        <v>113242.05830590471</v>
      </c>
      <c r="I121" s="304">
        <v>107454.54054126321</v>
      </c>
      <c r="J121" s="304">
        <v>108421.67150876304</v>
      </c>
      <c r="K121" s="304">
        <v>117471.27407800668</v>
      </c>
      <c r="L121" s="304">
        <v>129782.92044056911</v>
      </c>
      <c r="M121" s="304">
        <v>128625.20565952598</v>
      </c>
      <c r="N121" s="304">
        <v>121567.30425392442</v>
      </c>
      <c r="O121" s="304">
        <v>152009.56382063404</v>
      </c>
      <c r="P121" s="304">
        <v>183013.96134771418</v>
      </c>
      <c r="Q121" s="304">
        <v>197109.17535092495</v>
      </c>
      <c r="R121" s="37" t="s">
        <v>47</v>
      </c>
      <c r="S121" s="138"/>
    </row>
    <row r="122" spans="2:19" ht="25.15" customHeight="1">
      <c r="B122" s="121" t="s">
        <v>71</v>
      </c>
      <c r="C122" s="184" t="s">
        <v>48</v>
      </c>
      <c r="D122" s="304">
        <v>12905.843316432174</v>
      </c>
      <c r="E122" s="304">
        <v>14652.155381169778</v>
      </c>
      <c r="F122" s="304">
        <v>15031.84545122362</v>
      </c>
      <c r="G122" s="304">
        <v>15655.205757391956</v>
      </c>
      <c r="H122" s="304">
        <v>16883.802574678139</v>
      </c>
      <c r="I122" s="304">
        <v>19691.917076503112</v>
      </c>
      <c r="J122" s="304">
        <v>20115.248850711141</v>
      </c>
      <c r="K122" s="304">
        <v>22411.566145669083</v>
      </c>
      <c r="L122" s="304">
        <v>23331.891398741271</v>
      </c>
      <c r="M122" s="304">
        <v>24422.440696900016</v>
      </c>
      <c r="N122" s="304">
        <v>25318.286874619138</v>
      </c>
      <c r="O122" s="304">
        <v>28987.486729362274</v>
      </c>
      <c r="P122" s="304">
        <v>32056.251857320203</v>
      </c>
      <c r="Q122" s="304">
        <v>34591.50104297886</v>
      </c>
      <c r="R122" s="37" t="s">
        <v>125</v>
      </c>
      <c r="S122" s="138"/>
    </row>
    <row r="123" spans="2:19" ht="25.15" customHeight="1">
      <c r="B123" s="121" t="s">
        <v>72</v>
      </c>
      <c r="C123" s="184" t="s">
        <v>14</v>
      </c>
      <c r="D123" s="304">
        <v>77046.704086813959</v>
      </c>
      <c r="E123" s="304">
        <v>80743.729218103472</v>
      </c>
      <c r="F123" s="304">
        <v>77451.254755971109</v>
      </c>
      <c r="G123" s="304">
        <v>75973.480583301483</v>
      </c>
      <c r="H123" s="304">
        <v>81890.012029925128</v>
      </c>
      <c r="I123" s="304">
        <v>85020.749517344739</v>
      </c>
      <c r="J123" s="304">
        <v>84156.251353957108</v>
      </c>
      <c r="K123" s="304">
        <v>85698.488154733568</v>
      </c>
      <c r="L123" s="304">
        <v>89974.836926939155</v>
      </c>
      <c r="M123" s="304">
        <v>91391.615975058827</v>
      </c>
      <c r="N123" s="304">
        <v>81549.992605107269</v>
      </c>
      <c r="O123" s="304">
        <v>83997.443798335487</v>
      </c>
      <c r="P123" s="304">
        <v>92259.212006102054</v>
      </c>
      <c r="Q123" s="304">
        <v>100678.74842258483</v>
      </c>
      <c r="R123" s="37" t="s">
        <v>49</v>
      </c>
      <c r="S123" s="138"/>
    </row>
    <row r="124" spans="2:19" ht="25.15" customHeight="1">
      <c r="B124" s="121" t="s">
        <v>73</v>
      </c>
      <c r="C124" s="184" t="s">
        <v>50</v>
      </c>
      <c r="D124" s="304">
        <v>59729.811927439892</v>
      </c>
      <c r="E124" s="304">
        <v>64065.952148423683</v>
      </c>
      <c r="F124" s="304">
        <v>65799.062850874441</v>
      </c>
      <c r="G124" s="304">
        <v>72739.155256891216</v>
      </c>
      <c r="H124" s="304">
        <v>74488.465724599693</v>
      </c>
      <c r="I124" s="304">
        <v>77122.976446654735</v>
      </c>
      <c r="J124" s="304">
        <v>81711.379844798706</v>
      </c>
      <c r="K124" s="304">
        <v>83402.685609521737</v>
      </c>
      <c r="L124" s="304">
        <v>84961.896183951831</v>
      </c>
      <c r="M124" s="304">
        <v>86938.477740224378</v>
      </c>
      <c r="N124" s="304">
        <v>78038.905861358711</v>
      </c>
      <c r="O124" s="304">
        <v>85536.59879806648</v>
      </c>
      <c r="P124" s="304">
        <v>91837.068347909357</v>
      </c>
      <c r="Q124" s="304">
        <v>95816.595181785757</v>
      </c>
      <c r="R124" s="37" t="s">
        <v>126</v>
      </c>
      <c r="S124" s="138"/>
    </row>
    <row r="125" spans="2:19" ht="25.15" customHeight="1">
      <c r="B125" s="121" t="s">
        <v>74</v>
      </c>
      <c r="C125" s="184" t="s">
        <v>51</v>
      </c>
      <c r="D125" s="304">
        <v>36287.024926074097</v>
      </c>
      <c r="E125" s="304">
        <v>54713.809421581733</v>
      </c>
      <c r="F125" s="304">
        <v>58379.688340077264</v>
      </c>
      <c r="G125" s="304">
        <v>53052.117078119642</v>
      </c>
      <c r="H125" s="304">
        <v>56532.909336530494</v>
      </c>
      <c r="I125" s="304">
        <v>57581.564110671541</v>
      </c>
      <c r="J125" s="304">
        <v>57692.098960737894</v>
      </c>
      <c r="K125" s="304">
        <v>58342.592969065132</v>
      </c>
      <c r="L125" s="304">
        <v>60865.163092984367</v>
      </c>
      <c r="M125" s="304">
        <v>60660.681886180981</v>
      </c>
      <c r="N125" s="304">
        <v>39864.309379216393</v>
      </c>
      <c r="O125" s="304">
        <v>48246.713611528226</v>
      </c>
      <c r="P125" s="304">
        <v>70606.885704766173</v>
      </c>
      <c r="Q125" s="304">
        <v>82672.926428581617</v>
      </c>
      <c r="R125" s="37" t="s">
        <v>127</v>
      </c>
      <c r="S125" s="138"/>
    </row>
    <row r="126" spans="2:19" ht="25.15" customHeight="1">
      <c r="B126" s="121" t="s">
        <v>75</v>
      </c>
      <c r="C126" s="184" t="s">
        <v>52</v>
      </c>
      <c r="D126" s="304">
        <v>12100.089001652155</v>
      </c>
      <c r="E126" s="304">
        <v>14233.021869160497</v>
      </c>
      <c r="F126" s="304">
        <v>15630.912551177938</v>
      </c>
      <c r="G126" s="304">
        <v>16934.349620784935</v>
      </c>
      <c r="H126" s="304">
        <v>19107.256532974643</v>
      </c>
      <c r="I126" s="304">
        <v>19606.761373237729</v>
      </c>
      <c r="J126" s="304">
        <v>20189.510994972352</v>
      </c>
      <c r="K126" s="304">
        <v>20393.069721215354</v>
      </c>
      <c r="L126" s="304">
        <v>20485.64106522399</v>
      </c>
      <c r="M126" s="304">
        <v>20943.254100325728</v>
      </c>
      <c r="N126" s="304">
        <v>15148.218863043501</v>
      </c>
      <c r="O126" s="304">
        <v>20579.35070488002</v>
      </c>
      <c r="P126" s="304">
        <v>25871.146511435658</v>
      </c>
      <c r="Q126" s="304">
        <v>27949.346833638669</v>
      </c>
      <c r="R126" s="37" t="s">
        <v>128</v>
      </c>
      <c r="S126" s="138"/>
    </row>
    <row r="127" spans="2:19" ht="25.15" customHeight="1">
      <c r="B127" s="121" t="s">
        <v>76</v>
      </c>
      <c r="C127" s="184" t="s">
        <v>53</v>
      </c>
      <c r="D127" s="304">
        <v>13883.398418684652</v>
      </c>
      <c r="E127" s="304">
        <v>15514.361247227966</v>
      </c>
      <c r="F127" s="304">
        <v>16243.26441569712</v>
      </c>
      <c r="G127" s="304">
        <v>15523.697727363822</v>
      </c>
      <c r="H127" s="304">
        <v>17124.731366602926</v>
      </c>
      <c r="I127" s="304">
        <v>18266.773875970204</v>
      </c>
      <c r="J127" s="304">
        <v>18833.325131923175</v>
      </c>
      <c r="K127" s="304">
        <v>19741.782827998421</v>
      </c>
      <c r="L127" s="304">
        <v>20814.745743034931</v>
      </c>
      <c r="M127" s="304">
        <v>21375.344190379736</v>
      </c>
      <c r="N127" s="304">
        <v>21261.260924267695</v>
      </c>
      <c r="O127" s="304">
        <v>22927.191825120815</v>
      </c>
      <c r="P127" s="304">
        <v>25174.590523292634</v>
      </c>
      <c r="Q127" s="304">
        <v>26324.696183164215</v>
      </c>
      <c r="R127" s="37" t="s">
        <v>129</v>
      </c>
      <c r="S127" s="138"/>
    </row>
    <row r="128" spans="2:19" ht="25.15" customHeight="1">
      <c r="B128" s="121" t="s">
        <v>77</v>
      </c>
      <c r="C128" s="185" t="s">
        <v>54</v>
      </c>
      <c r="D128" s="104">
        <v>25024.550377539883</v>
      </c>
      <c r="E128" s="104">
        <v>26500.712465917393</v>
      </c>
      <c r="F128" s="104">
        <v>28414.635593033498</v>
      </c>
      <c r="G128" s="104">
        <v>33898.074659655031</v>
      </c>
      <c r="H128" s="104">
        <v>37848.209374650003</v>
      </c>
      <c r="I128" s="104">
        <v>41087.621959954522</v>
      </c>
      <c r="J128" s="104">
        <v>42499.42872457215</v>
      </c>
      <c r="K128" s="104">
        <v>42808.863263735926</v>
      </c>
      <c r="L128" s="104">
        <v>42491.450127208453</v>
      </c>
      <c r="M128" s="104">
        <v>43779.228726975802</v>
      </c>
      <c r="N128" s="104">
        <v>37608.182193073706</v>
      </c>
      <c r="O128" s="104">
        <v>39275.402237477778</v>
      </c>
      <c r="P128" s="104">
        <v>44405.476089693366</v>
      </c>
      <c r="Q128" s="104">
        <v>52215.447606813686</v>
      </c>
      <c r="R128" s="186" t="s">
        <v>55</v>
      </c>
      <c r="S128" s="138"/>
    </row>
    <row r="129" spans="2:19" ht="25.15" customHeight="1">
      <c r="B129" s="121" t="s">
        <v>78</v>
      </c>
      <c r="C129" s="184" t="s">
        <v>56</v>
      </c>
      <c r="D129" s="304">
        <v>20943.233461104421</v>
      </c>
      <c r="E129" s="304">
        <v>21924.541829778529</v>
      </c>
      <c r="F129" s="304">
        <v>25028.817455519536</v>
      </c>
      <c r="G129" s="304">
        <v>25723.081667191665</v>
      </c>
      <c r="H129" s="304">
        <v>29189.421711826843</v>
      </c>
      <c r="I129" s="304">
        <v>32108.239005280157</v>
      </c>
      <c r="J129" s="304">
        <v>34016.045690006387</v>
      </c>
      <c r="K129" s="304">
        <v>34207.062489338809</v>
      </c>
      <c r="L129" s="304">
        <v>31924.836851395947</v>
      </c>
      <c r="M129" s="304">
        <v>31558.242835274395</v>
      </c>
      <c r="N129" s="304">
        <v>27701.189322292346</v>
      </c>
      <c r="O129" s="304">
        <v>29196.004734665192</v>
      </c>
      <c r="P129" s="304">
        <v>33315.483642517182</v>
      </c>
      <c r="Q129" s="304">
        <v>37061.906269351253</v>
      </c>
      <c r="R129" s="37" t="s">
        <v>130</v>
      </c>
      <c r="S129" s="138"/>
    </row>
    <row r="130" spans="2:19" ht="25.15" customHeight="1">
      <c r="B130" s="121" t="s">
        <v>205</v>
      </c>
      <c r="C130" s="184" t="s">
        <v>188</v>
      </c>
      <c r="D130" s="304">
        <v>25342.565292197058</v>
      </c>
      <c r="E130" s="304">
        <v>24458.579717991175</v>
      </c>
      <c r="F130" s="304">
        <v>25755.930624402226</v>
      </c>
      <c r="G130" s="304">
        <v>26010.866672950193</v>
      </c>
      <c r="H130" s="304">
        <v>28001.819828266052</v>
      </c>
      <c r="I130" s="304">
        <v>30715.226070372191</v>
      </c>
      <c r="J130" s="304">
        <v>30585.990047381347</v>
      </c>
      <c r="K130" s="304">
        <v>31104.579958221697</v>
      </c>
      <c r="L130" s="304">
        <v>33194.286743053526</v>
      </c>
      <c r="M130" s="304">
        <v>36145.746516696054</v>
      </c>
      <c r="N130" s="304">
        <v>31983.691312305546</v>
      </c>
      <c r="O130" s="304">
        <v>34778.767990799264</v>
      </c>
      <c r="P130" s="304">
        <v>38542.300090980272</v>
      </c>
      <c r="Q130" s="304">
        <v>38967.756496887996</v>
      </c>
      <c r="R130" s="37" t="s">
        <v>206</v>
      </c>
      <c r="S130" s="138"/>
    </row>
    <row r="131" spans="2:19" ht="25.15" customHeight="1">
      <c r="B131" s="121" t="s">
        <v>79</v>
      </c>
      <c r="C131" s="185" t="s">
        <v>57</v>
      </c>
      <c r="D131" s="104">
        <v>26923.69762687981</v>
      </c>
      <c r="E131" s="104">
        <v>32234.156944673497</v>
      </c>
      <c r="F131" s="104">
        <v>33762.141821294921</v>
      </c>
      <c r="G131" s="104">
        <v>35552.952456754436</v>
      </c>
      <c r="H131" s="104">
        <v>36718.41617672961</v>
      </c>
      <c r="I131" s="104">
        <v>38376.402770713023</v>
      </c>
      <c r="J131" s="104">
        <v>39386.256466696075</v>
      </c>
      <c r="K131" s="104">
        <v>44243.485236188542</v>
      </c>
      <c r="L131" s="104">
        <v>46395.352990570158</v>
      </c>
      <c r="M131" s="104">
        <v>45469.00766350991</v>
      </c>
      <c r="N131" s="104">
        <v>44638.168272459043</v>
      </c>
      <c r="O131" s="104">
        <v>47478.27234889524</v>
      </c>
      <c r="P131" s="104">
        <v>49459.344250022797</v>
      </c>
      <c r="Q131" s="104">
        <v>51939.262782213649</v>
      </c>
      <c r="R131" s="186" t="s">
        <v>131</v>
      </c>
      <c r="S131" s="138"/>
    </row>
    <row r="132" spans="2:19" ht="25.15" customHeight="1">
      <c r="B132" s="121" t="s">
        <v>80</v>
      </c>
      <c r="C132" s="184" t="s">
        <v>58</v>
      </c>
      <c r="D132" s="304">
        <v>5793.2585766463962</v>
      </c>
      <c r="E132" s="304">
        <v>6714.1669871485692</v>
      </c>
      <c r="F132" s="304">
        <v>7121.8460250212038</v>
      </c>
      <c r="G132" s="304">
        <v>7678.0846464542328</v>
      </c>
      <c r="H132" s="304">
        <v>8641.3505582020716</v>
      </c>
      <c r="I132" s="304">
        <v>9030.1569938494795</v>
      </c>
      <c r="J132" s="304">
        <v>9556.7322208082696</v>
      </c>
      <c r="K132" s="304">
        <v>10194.860816166789</v>
      </c>
      <c r="L132" s="304">
        <v>10381.334403923376</v>
      </c>
      <c r="M132" s="304">
        <v>10352.446651109214</v>
      </c>
      <c r="N132" s="304">
        <v>10184.87525569747</v>
      </c>
      <c r="O132" s="304">
        <v>10757.495789473733</v>
      </c>
      <c r="P132" s="304">
        <v>11774.910638175477</v>
      </c>
      <c r="Q132" s="304">
        <v>12444.050879184935</v>
      </c>
      <c r="R132" s="37" t="s">
        <v>59</v>
      </c>
      <c r="S132" s="138"/>
    </row>
    <row r="133" spans="2:19" ht="25.15" customHeight="1">
      <c r="B133" s="121" t="s">
        <v>81</v>
      </c>
      <c r="C133" s="184" t="s">
        <v>60</v>
      </c>
      <c r="D133" s="304">
        <v>4078.8242864866702</v>
      </c>
      <c r="E133" s="304">
        <v>4698.762088157634</v>
      </c>
      <c r="F133" s="304">
        <v>5853.0491826569705</v>
      </c>
      <c r="G133" s="304">
        <v>6863.0531276379334</v>
      </c>
      <c r="H133" s="304">
        <v>7908.0135047594886</v>
      </c>
      <c r="I133" s="304">
        <v>8102.8252706455414</v>
      </c>
      <c r="J133" s="304">
        <v>8769.5835323657775</v>
      </c>
      <c r="K133" s="304">
        <v>9172.2239148932513</v>
      </c>
      <c r="L133" s="304">
        <v>9662.640937152546</v>
      </c>
      <c r="M133" s="304">
        <v>10903.031478413497</v>
      </c>
      <c r="N133" s="304">
        <v>13294.036843253418</v>
      </c>
      <c r="O133" s="304">
        <v>15974.340239979498</v>
      </c>
      <c r="P133" s="304">
        <v>16982.05714838974</v>
      </c>
      <c r="Q133" s="304">
        <v>18074.079866759945</v>
      </c>
      <c r="R133" s="37" t="s">
        <v>132</v>
      </c>
      <c r="S133" s="138"/>
    </row>
    <row r="134" spans="2:19" ht="25.15" customHeight="1">
      <c r="B134" s="121" t="s">
        <v>82</v>
      </c>
      <c r="C134" s="184" t="s">
        <v>61</v>
      </c>
      <c r="D134" s="304">
        <v>3170.7611660069756</v>
      </c>
      <c r="E134" s="304">
        <v>3526.7358678297196</v>
      </c>
      <c r="F134" s="304">
        <v>4056.7679725087364</v>
      </c>
      <c r="G134" s="304">
        <v>3608.8098395753541</v>
      </c>
      <c r="H134" s="304">
        <v>4316.0818138318427</v>
      </c>
      <c r="I134" s="304">
        <v>4532.6718016344503</v>
      </c>
      <c r="J134" s="304">
        <v>4909.6285127552956</v>
      </c>
      <c r="K134" s="304">
        <v>5142.2846734616796</v>
      </c>
      <c r="L134" s="304">
        <v>5488.5172469605168</v>
      </c>
      <c r="M134" s="304">
        <v>5404.0273508478085</v>
      </c>
      <c r="N134" s="304">
        <v>4625.1458399665589</v>
      </c>
      <c r="O134" s="304">
        <v>5044.7878413235676</v>
      </c>
      <c r="P134" s="304">
        <v>5614.2666863154036</v>
      </c>
      <c r="Q134" s="304">
        <v>5902.124766242664</v>
      </c>
      <c r="R134" s="37" t="s">
        <v>133</v>
      </c>
      <c r="S134" s="138"/>
    </row>
    <row r="135" spans="2:19" ht="25.15" customHeight="1">
      <c r="B135" s="122" t="s">
        <v>83</v>
      </c>
      <c r="C135" s="188" t="s">
        <v>114</v>
      </c>
      <c r="D135" s="104">
        <v>1262.7577970317489</v>
      </c>
      <c r="E135" s="104">
        <v>1386.0581409805136</v>
      </c>
      <c r="F135" s="104">
        <v>1480.6509424652161</v>
      </c>
      <c r="G135" s="104">
        <v>1820.1202486492334</v>
      </c>
      <c r="H135" s="104">
        <v>2071.5215299496413</v>
      </c>
      <c r="I135" s="104">
        <v>2239.6406135411507</v>
      </c>
      <c r="J135" s="104">
        <v>2410.9713705815707</v>
      </c>
      <c r="K135" s="104">
        <v>2581.4099592226789</v>
      </c>
      <c r="L135" s="104">
        <v>2762.3982345223158</v>
      </c>
      <c r="M135" s="104">
        <v>2941.0436127421654</v>
      </c>
      <c r="N135" s="104">
        <v>2891.6474103317387</v>
      </c>
      <c r="O135" s="104">
        <v>2915.4135447388576</v>
      </c>
      <c r="P135" s="104">
        <v>3103.1419353617443</v>
      </c>
      <c r="Q135" s="104">
        <v>3163.1230593328846</v>
      </c>
      <c r="R135" s="186" t="s">
        <v>134</v>
      </c>
      <c r="S135" s="138"/>
    </row>
    <row r="136" spans="2:19" ht="25.15" customHeight="1">
      <c r="B136" s="537" t="s">
        <v>0</v>
      </c>
      <c r="C136" s="537"/>
      <c r="D136" s="221">
        <v>509315.86129044212</v>
      </c>
      <c r="E136" s="221">
        <v>613935.94624092663</v>
      </c>
      <c r="F136" s="221">
        <v>644058.12498134223</v>
      </c>
      <c r="G136" s="221">
        <v>656037.64754322579</v>
      </c>
      <c r="H136" s="221">
        <v>682829.64340668777</v>
      </c>
      <c r="I136" s="221">
        <v>642485.62413486722</v>
      </c>
      <c r="J136" s="221">
        <v>645351.7186611353</v>
      </c>
      <c r="K136" s="221">
        <v>686476.72138348781</v>
      </c>
      <c r="L136" s="221">
        <v>739537.75295313471</v>
      </c>
      <c r="M136" s="221">
        <v>731327.11808674829</v>
      </c>
      <c r="N136" s="221">
        <v>630143.49752875185</v>
      </c>
      <c r="O136" s="221">
        <v>746895.67772303638</v>
      </c>
      <c r="P136" s="221">
        <v>897045.07734218007</v>
      </c>
      <c r="Q136" s="221">
        <v>932094.21042674466</v>
      </c>
      <c r="R136" s="221" t="s">
        <v>19</v>
      </c>
      <c r="S136" s="138"/>
    </row>
    <row r="137" spans="2:19" ht="25.15" customHeight="1" thickBot="1">
      <c r="B137" s="540" t="s">
        <v>62</v>
      </c>
      <c r="C137" s="540"/>
      <c r="D137" s="159">
        <v>415883.71941778867</v>
      </c>
      <c r="E137" s="159">
        <v>473557.93629200279</v>
      </c>
      <c r="F137" s="159">
        <v>493748.51548768597</v>
      </c>
      <c r="G137" s="159">
        <v>506402.95240792882</v>
      </c>
      <c r="H137" s="159">
        <v>538657.01904895611</v>
      </c>
      <c r="I137" s="159">
        <v>555817.80043672118</v>
      </c>
      <c r="J137" s="159">
        <v>568269.05017818243</v>
      </c>
      <c r="K137" s="159">
        <v>592178.83637665526</v>
      </c>
      <c r="L137" s="159">
        <v>617884.58542566316</v>
      </c>
      <c r="M137" s="159">
        <v>626479.46164230746</v>
      </c>
      <c r="N137" s="159">
        <v>561603.51426635426</v>
      </c>
      <c r="O137" s="159">
        <v>634759.03537231043</v>
      </c>
      <c r="P137" s="159">
        <v>730328.56635206437</v>
      </c>
      <c r="Q137" s="159">
        <v>791390.22079116001</v>
      </c>
      <c r="R137" s="159" t="s">
        <v>63</v>
      </c>
      <c r="S137" s="138"/>
    </row>
    <row r="138" spans="2:19" ht="24.95" customHeight="1">
      <c r="B138" s="534" t="s">
        <v>326</v>
      </c>
      <c r="C138" s="534"/>
      <c r="D138" s="31"/>
      <c r="E138" s="31"/>
      <c r="F138" s="31"/>
      <c r="G138" s="31"/>
      <c r="H138" s="31"/>
      <c r="I138" s="31"/>
      <c r="J138" s="31"/>
      <c r="K138" s="31"/>
      <c r="L138" s="31"/>
      <c r="M138" s="31"/>
      <c r="N138" s="31"/>
      <c r="O138" s="31"/>
      <c r="P138" s="31"/>
      <c r="Q138" s="31"/>
      <c r="R138" s="313" t="s">
        <v>327</v>
      </c>
    </row>
    <row r="139" spans="2:19" ht="24.95" customHeight="1">
      <c r="B139" s="535" t="s">
        <v>191</v>
      </c>
      <c r="C139" s="535"/>
      <c r="D139" s="11"/>
      <c r="E139" s="11"/>
      <c r="F139" s="11"/>
      <c r="G139" s="11"/>
      <c r="H139" s="11"/>
      <c r="I139" s="11"/>
      <c r="J139" s="11"/>
      <c r="K139" s="11"/>
      <c r="L139" s="11"/>
      <c r="M139" s="11"/>
      <c r="N139" s="11"/>
      <c r="O139" s="11"/>
      <c r="P139" s="11"/>
      <c r="Q139" s="11"/>
      <c r="R139" s="313" t="s">
        <v>193</v>
      </c>
    </row>
    <row r="140" spans="2:19" ht="24.95" customHeight="1">
      <c r="B140" s="81" t="s">
        <v>192</v>
      </c>
      <c r="C140" s="81"/>
      <c r="D140" s="78"/>
      <c r="E140" s="78"/>
      <c r="F140" s="78"/>
      <c r="G140" s="78"/>
      <c r="H140" s="78"/>
      <c r="I140" s="78"/>
      <c r="J140" s="78"/>
      <c r="K140" s="78"/>
      <c r="L140" s="78"/>
      <c r="M140" s="78"/>
      <c r="N140" s="78"/>
      <c r="O140" s="78"/>
      <c r="P140" s="78"/>
      <c r="Q140" s="78"/>
      <c r="R140" s="81" t="s">
        <v>551</v>
      </c>
    </row>
    <row r="141" spans="2:19" s="1" customFormat="1" ht="24.95" customHeight="1"/>
    <row r="142" spans="2:19" s="1" customFormat="1" ht="25.15" customHeight="1">
      <c r="C142" s="507" t="s">
        <v>417</v>
      </c>
      <c r="D142" s="507"/>
      <c r="E142" s="507"/>
      <c r="F142" s="507"/>
      <c r="G142" s="507"/>
      <c r="H142" s="507"/>
      <c r="I142" s="507"/>
      <c r="J142" s="507"/>
      <c r="K142" s="507"/>
      <c r="L142" s="507"/>
      <c r="M142" s="507"/>
      <c r="N142" s="507"/>
      <c r="O142" s="507"/>
      <c r="P142" s="507"/>
      <c r="Q142" s="507"/>
      <c r="R142" s="507"/>
    </row>
    <row r="143" spans="2:19" s="1" customFormat="1" ht="25.15" customHeight="1">
      <c r="C143" s="529" t="s">
        <v>418</v>
      </c>
      <c r="D143" s="529"/>
      <c r="E143" s="529"/>
      <c r="F143" s="529"/>
      <c r="G143" s="529"/>
      <c r="H143" s="529"/>
      <c r="I143" s="529"/>
      <c r="J143" s="529"/>
      <c r="K143" s="529"/>
      <c r="L143" s="529"/>
      <c r="M143" s="529"/>
      <c r="N143" s="529"/>
      <c r="O143" s="529"/>
      <c r="P143" s="529"/>
      <c r="Q143" s="529"/>
      <c r="R143" s="529"/>
    </row>
    <row r="144" spans="2:19" s="1" customFormat="1" ht="25.15" customHeight="1">
      <c r="C144" s="179"/>
      <c r="D144" s="179"/>
      <c r="E144" s="179"/>
      <c r="F144" s="179"/>
      <c r="G144" s="179"/>
      <c r="H144" s="179"/>
      <c r="I144" s="179"/>
      <c r="J144" s="179"/>
      <c r="K144" s="179"/>
      <c r="L144" s="179"/>
      <c r="M144" s="179"/>
      <c r="N144" s="179"/>
      <c r="O144" s="179"/>
      <c r="P144" s="179"/>
      <c r="Q144" s="179"/>
      <c r="R144" s="211" t="s">
        <v>388</v>
      </c>
    </row>
    <row r="145" spans="2:19" s="1" customFormat="1" ht="25.15" customHeight="1">
      <c r="B145" s="49" t="s">
        <v>67</v>
      </c>
      <c r="C145" s="183" t="s">
        <v>117</v>
      </c>
      <c r="D145" s="114">
        <v>2010</v>
      </c>
      <c r="E145" s="114">
        <v>2011</v>
      </c>
      <c r="F145" s="114">
        <v>2012</v>
      </c>
      <c r="G145" s="114">
        <v>2013</v>
      </c>
      <c r="H145" s="114">
        <v>2014</v>
      </c>
      <c r="I145" s="114">
        <v>2015</v>
      </c>
      <c r="J145" s="114">
        <v>2016</v>
      </c>
      <c r="K145" s="114">
        <v>2017</v>
      </c>
      <c r="L145" s="114">
        <v>2018</v>
      </c>
      <c r="M145" s="114">
        <v>2019</v>
      </c>
      <c r="N145" s="114">
        <v>2020</v>
      </c>
      <c r="O145" s="114">
        <v>2021</v>
      </c>
      <c r="P145" s="114" t="s">
        <v>185</v>
      </c>
      <c r="Q145" s="114" t="s">
        <v>186</v>
      </c>
      <c r="R145" s="49" t="s">
        <v>118</v>
      </c>
    </row>
    <row r="146" spans="2:19" s="1" customFormat="1" ht="25.15" customHeight="1">
      <c r="B146" s="65"/>
      <c r="C146" s="263" t="s">
        <v>102</v>
      </c>
      <c r="D146" s="104">
        <f>(D34/3.6725)</f>
        <v>192056.0804274423</v>
      </c>
      <c r="E146" s="104">
        <f t="shared" ref="E146:Q146" si="12">(E34/3.6725)</f>
        <v>231147.78048224276</v>
      </c>
      <c r="F146" s="104">
        <f t="shared" si="12"/>
        <v>237748.94600674248</v>
      </c>
      <c r="G146" s="104">
        <f t="shared" si="12"/>
        <v>233574.82271500939</v>
      </c>
      <c r="H146" s="104">
        <f t="shared" si="12"/>
        <v>246932.78621064409</v>
      </c>
      <c r="I146" s="104">
        <f t="shared" si="12"/>
        <v>248989.17353675814</v>
      </c>
      <c r="J146" s="104">
        <f t="shared" si="12"/>
        <v>253549.604994261</v>
      </c>
      <c r="K146" s="104">
        <f t="shared" si="12"/>
        <v>271890.54631248041</v>
      </c>
      <c r="L146" s="104">
        <f t="shared" si="12"/>
        <v>287557.66332004062</v>
      </c>
      <c r="M146" s="104">
        <f t="shared" si="12"/>
        <v>289095.79237778496</v>
      </c>
      <c r="N146" s="104">
        <f t="shared" si="12"/>
        <v>258402.90176798176</v>
      </c>
      <c r="O146" s="104">
        <f t="shared" si="12"/>
        <v>307248.04748265102</v>
      </c>
      <c r="P146" s="104">
        <f t="shared" si="12"/>
        <v>367839.52633812564</v>
      </c>
      <c r="Q146" s="104">
        <f t="shared" si="12"/>
        <v>389208.10764842684</v>
      </c>
      <c r="R146" s="23" t="s">
        <v>44</v>
      </c>
      <c r="S146" s="138"/>
    </row>
    <row r="147" spans="2:19" s="1" customFormat="1" ht="25.15" customHeight="1">
      <c r="B147" s="121" t="s">
        <v>68</v>
      </c>
      <c r="C147" s="184" t="s">
        <v>45</v>
      </c>
      <c r="D147" s="304">
        <f t="shared" ref="D147:Q147" si="13">(D35/3.6725)</f>
        <v>1662.0994494932365</v>
      </c>
      <c r="E147" s="304">
        <f t="shared" si="13"/>
        <v>1791.7816030657023</v>
      </c>
      <c r="F147" s="304">
        <f t="shared" si="13"/>
        <v>1870.0471817561581</v>
      </c>
      <c r="G147" s="304">
        <f t="shared" si="13"/>
        <v>2000.7662112868979</v>
      </c>
      <c r="H147" s="304">
        <f t="shared" si="13"/>
        <v>2089.4019645218177</v>
      </c>
      <c r="I147" s="304">
        <f t="shared" si="13"/>
        <v>2200.1546199182044</v>
      </c>
      <c r="J147" s="304">
        <f t="shared" si="13"/>
        <v>2242.3256711590075</v>
      </c>
      <c r="K147" s="304">
        <f t="shared" si="13"/>
        <v>2287.8151188747934</v>
      </c>
      <c r="L147" s="304">
        <f t="shared" si="13"/>
        <v>2328.3700682043791</v>
      </c>
      <c r="M147" s="304">
        <f t="shared" si="13"/>
        <v>2448.4863069482972</v>
      </c>
      <c r="N147" s="304">
        <f t="shared" si="13"/>
        <v>2559.7611169319312</v>
      </c>
      <c r="O147" s="304">
        <f t="shared" si="13"/>
        <v>3137.3284020829756</v>
      </c>
      <c r="P147" s="304">
        <f t="shared" si="13"/>
        <v>2776.5194820690176</v>
      </c>
      <c r="Q147" s="304">
        <f t="shared" si="13"/>
        <v>2874.3621809238093</v>
      </c>
      <c r="R147" s="37" t="s">
        <v>123</v>
      </c>
      <c r="S147" s="138"/>
    </row>
    <row r="148" spans="2:19" s="1" customFormat="1" ht="25.15" customHeight="1">
      <c r="B148" s="121" t="s">
        <v>69</v>
      </c>
      <c r="C148" s="184" t="s">
        <v>46</v>
      </c>
      <c r="D148" s="304">
        <f t="shared" ref="D148:Q148" si="14">(D36/3.6725)</f>
        <v>4257.852999213259</v>
      </c>
      <c r="E148" s="304">
        <f t="shared" si="14"/>
        <v>5294.7114259343934</v>
      </c>
      <c r="F148" s="304">
        <f t="shared" si="14"/>
        <v>5594.9287284879492</v>
      </c>
      <c r="G148" s="304">
        <f t="shared" si="14"/>
        <v>7284.9276665334892</v>
      </c>
      <c r="H148" s="304">
        <f t="shared" si="14"/>
        <v>8084.9951724278999</v>
      </c>
      <c r="I148" s="304">
        <f t="shared" si="14"/>
        <v>9371.5569635416196</v>
      </c>
      <c r="J148" s="304">
        <f t="shared" si="14"/>
        <v>8777.0442134747482</v>
      </c>
      <c r="K148" s="304">
        <f t="shared" si="14"/>
        <v>15624.049217907894</v>
      </c>
      <c r="L148" s="304">
        <f t="shared" si="14"/>
        <v>12237.181824572523</v>
      </c>
      <c r="M148" s="304">
        <f t="shared" si="14"/>
        <v>10680.154877952034</v>
      </c>
      <c r="N148" s="304">
        <f t="shared" si="14"/>
        <v>7973.6289308354035</v>
      </c>
      <c r="O148" s="304">
        <f t="shared" si="14"/>
        <v>12193.129139615543</v>
      </c>
      <c r="P148" s="304">
        <f t="shared" si="14"/>
        <v>17628.285707163115</v>
      </c>
      <c r="Q148" s="304">
        <f t="shared" si="14"/>
        <v>15114.481164582157</v>
      </c>
      <c r="R148" s="37" t="s">
        <v>124</v>
      </c>
      <c r="S148" s="138"/>
    </row>
    <row r="149" spans="2:19" s="1" customFormat="1" ht="25.15" customHeight="1">
      <c r="B149" s="121" t="s">
        <v>70</v>
      </c>
      <c r="C149" s="184" t="s">
        <v>13</v>
      </c>
      <c r="D149" s="304">
        <f t="shared" ref="D149:Q149" si="15">(D37/3.6725)</f>
        <v>62080.344523325854</v>
      </c>
      <c r="E149" s="304">
        <f t="shared" si="15"/>
        <v>74647.15953830941</v>
      </c>
      <c r="F149" s="304">
        <f t="shared" si="15"/>
        <v>78357.595598552725</v>
      </c>
      <c r="G149" s="304">
        <f t="shared" si="15"/>
        <v>79114.766021143339</v>
      </c>
      <c r="H149" s="304">
        <f t="shared" si="15"/>
        <v>79636.188098229104</v>
      </c>
      <c r="I149" s="304">
        <f t="shared" si="15"/>
        <v>73478.458345791558</v>
      </c>
      <c r="J149" s="304">
        <f t="shared" si="15"/>
        <v>73979.52529383736</v>
      </c>
      <c r="K149" s="304">
        <f t="shared" si="15"/>
        <v>80835.405513702295</v>
      </c>
      <c r="L149" s="304">
        <f t="shared" si="15"/>
        <v>91665.385806944774</v>
      </c>
      <c r="M149" s="304">
        <f t="shared" si="15"/>
        <v>91560.58107797995</v>
      </c>
      <c r="N149" s="304">
        <f t="shared" si="15"/>
        <v>85600.310230249655</v>
      </c>
      <c r="O149" s="304">
        <f t="shared" si="15"/>
        <v>110484.41268510264</v>
      </c>
      <c r="P149" s="304">
        <f t="shared" si="15"/>
        <v>133641.92548700012</v>
      </c>
      <c r="Q149" s="304">
        <f t="shared" si="15"/>
        <v>141347.66654104748</v>
      </c>
      <c r="R149" s="37" t="s">
        <v>47</v>
      </c>
      <c r="S149" s="138"/>
    </row>
    <row r="150" spans="2:19" s="1" customFormat="1" ht="25.15" customHeight="1">
      <c r="B150" s="121" t="s">
        <v>71</v>
      </c>
      <c r="C150" s="184" t="s">
        <v>48</v>
      </c>
      <c r="D150" s="304">
        <f t="shared" ref="D150:Q150" si="16">(D38/3.6725)</f>
        <v>5692.5401891632973</v>
      </c>
      <c r="E150" s="304">
        <f t="shared" si="16"/>
        <v>6180.9176598626163</v>
      </c>
      <c r="F150" s="304">
        <f t="shared" si="16"/>
        <v>5453.2157334385183</v>
      </c>
      <c r="G150" s="304">
        <f t="shared" si="16"/>
        <v>5787.9124585302334</v>
      </c>
      <c r="H150" s="304">
        <f t="shared" si="16"/>
        <v>6159.5700438130334</v>
      </c>
      <c r="I150" s="304">
        <f t="shared" si="16"/>
        <v>6839.4048521907243</v>
      </c>
      <c r="J150" s="304">
        <f t="shared" si="16"/>
        <v>6753.3751491038101</v>
      </c>
      <c r="K150" s="304">
        <f t="shared" si="16"/>
        <v>7289.5275070049729</v>
      </c>
      <c r="L150" s="304">
        <f t="shared" si="16"/>
        <v>7420.3135271857782</v>
      </c>
      <c r="M150" s="304">
        <f t="shared" si="16"/>
        <v>7588.410864141998</v>
      </c>
      <c r="N150" s="304">
        <f t="shared" si="16"/>
        <v>8660.0289879187912</v>
      </c>
      <c r="O150" s="304">
        <f t="shared" si="16"/>
        <v>9808.0143372894781</v>
      </c>
      <c r="P150" s="304">
        <f t="shared" si="16"/>
        <v>11194.295837805106</v>
      </c>
      <c r="Q150" s="304">
        <f t="shared" si="16"/>
        <v>11914.837494731753</v>
      </c>
      <c r="R150" s="37" t="s">
        <v>125</v>
      </c>
      <c r="S150" s="138"/>
    </row>
    <row r="151" spans="2:19" s="1" customFormat="1" ht="25.15" customHeight="1">
      <c r="B151" s="121" t="s">
        <v>72</v>
      </c>
      <c r="C151" s="184" t="s">
        <v>14</v>
      </c>
      <c r="D151" s="304">
        <f t="shared" ref="D151:Q151" si="17">(D39/3.6725)</f>
        <v>43743.506405415465</v>
      </c>
      <c r="E151" s="304">
        <f t="shared" si="17"/>
        <v>47747.036713480629</v>
      </c>
      <c r="F151" s="304">
        <f t="shared" si="17"/>
        <v>45273.940598199297</v>
      </c>
      <c r="G151" s="304">
        <f t="shared" si="17"/>
        <v>42977.127160161675</v>
      </c>
      <c r="H151" s="304">
        <f t="shared" si="17"/>
        <v>47015.549492133439</v>
      </c>
      <c r="I151" s="304">
        <f t="shared" si="17"/>
        <v>48615.476681127751</v>
      </c>
      <c r="J151" s="304">
        <f t="shared" si="17"/>
        <v>48765.709144072964</v>
      </c>
      <c r="K151" s="304">
        <f t="shared" si="17"/>
        <v>50051.108969501103</v>
      </c>
      <c r="L151" s="304">
        <f t="shared" si="17"/>
        <v>53052.793176987223</v>
      </c>
      <c r="M151" s="304">
        <f t="shared" si="17"/>
        <v>53349.871256139384</v>
      </c>
      <c r="N151" s="304">
        <f t="shared" si="17"/>
        <v>47354.698830676185</v>
      </c>
      <c r="O151" s="304">
        <f t="shared" si="17"/>
        <v>48933.104159878276</v>
      </c>
      <c r="P151" s="304">
        <f t="shared" si="17"/>
        <v>54769.220942231979</v>
      </c>
      <c r="Q151" s="304">
        <f t="shared" si="17"/>
        <v>59344.663031399999</v>
      </c>
      <c r="R151" s="37" t="s">
        <v>49</v>
      </c>
      <c r="S151" s="138"/>
    </row>
    <row r="152" spans="2:19" s="1" customFormat="1" ht="25.15" customHeight="1">
      <c r="B152" s="121" t="s">
        <v>73</v>
      </c>
      <c r="C152" s="184" t="s">
        <v>50</v>
      </c>
      <c r="D152" s="304">
        <f t="shared" ref="D152:Q152" si="18">(D40/3.6725)</f>
        <v>19405.716661798793</v>
      </c>
      <c r="E152" s="304">
        <f t="shared" si="18"/>
        <v>22854.314900662299</v>
      </c>
      <c r="F152" s="304">
        <f t="shared" si="18"/>
        <v>22630.335495715342</v>
      </c>
      <c r="G152" s="304">
        <f t="shared" si="18"/>
        <v>25702.247036287776</v>
      </c>
      <c r="H152" s="304">
        <f t="shared" si="18"/>
        <v>25983.307465133243</v>
      </c>
      <c r="I152" s="304">
        <f t="shared" si="18"/>
        <v>26735.621053487263</v>
      </c>
      <c r="J152" s="304">
        <f t="shared" si="18"/>
        <v>28619.674410099014</v>
      </c>
      <c r="K152" s="304">
        <f t="shared" si="18"/>
        <v>29760.381696427052</v>
      </c>
      <c r="L152" s="304">
        <f t="shared" si="18"/>
        <v>30659.358371604507</v>
      </c>
      <c r="M152" s="304">
        <f t="shared" si="18"/>
        <v>30917.49867366716</v>
      </c>
      <c r="N152" s="304">
        <f t="shared" si="18"/>
        <v>30243.033380627028</v>
      </c>
      <c r="O152" s="304">
        <f t="shared" si="18"/>
        <v>32568.861428491578</v>
      </c>
      <c r="P152" s="304">
        <f t="shared" si="18"/>
        <v>34047.945511144484</v>
      </c>
      <c r="Q152" s="304">
        <f t="shared" si="18"/>
        <v>34123.043162970782</v>
      </c>
      <c r="R152" s="37" t="s">
        <v>126</v>
      </c>
      <c r="S152" s="138"/>
    </row>
    <row r="153" spans="2:19" s="1" customFormat="1" ht="25.15" customHeight="1">
      <c r="B153" s="121" t="s">
        <v>74</v>
      </c>
      <c r="C153" s="184" t="s">
        <v>51</v>
      </c>
      <c r="D153" s="304">
        <f t="shared" ref="D153:Q153" si="19">(D41/3.6725)</f>
        <v>19171.27112818254</v>
      </c>
      <c r="E153" s="304">
        <f t="shared" si="19"/>
        <v>34729.337625635228</v>
      </c>
      <c r="F153" s="304">
        <f t="shared" si="19"/>
        <v>37380.32300827928</v>
      </c>
      <c r="G153" s="304">
        <f t="shared" si="19"/>
        <v>31035.020500743962</v>
      </c>
      <c r="H153" s="304">
        <f t="shared" si="19"/>
        <v>32767.138361157104</v>
      </c>
      <c r="I153" s="304">
        <f t="shared" si="19"/>
        <v>32361.181376398992</v>
      </c>
      <c r="J153" s="304">
        <f t="shared" si="19"/>
        <v>35419.641986856026</v>
      </c>
      <c r="K153" s="304">
        <f t="shared" si="19"/>
        <v>35564.104156462534</v>
      </c>
      <c r="L153" s="304">
        <f t="shared" si="19"/>
        <v>37532.36414570058</v>
      </c>
      <c r="M153" s="304">
        <f t="shared" si="19"/>
        <v>36535.337872731019</v>
      </c>
      <c r="N153" s="304">
        <f t="shared" si="19"/>
        <v>21933.701767098046</v>
      </c>
      <c r="O153" s="304">
        <f t="shared" si="19"/>
        <v>28650.032442468568</v>
      </c>
      <c r="P153" s="304">
        <f t="shared" si="19"/>
        <v>43932.423718824444</v>
      </c>
      <c r="Q153" s="304">
        <f t="shared" si="19"/>
        <v>50898.225520771121</v>
      </c>
      <c r="R153" s="37" t="s">
        <v>127</v>
      </c>
      <c r="S153" s="138"/>
    </row>
    <row r="154" spans="2:19" s="1" customFormat="1" ht="25.15" customHeight="1">
      <c r="B154" s="121" t="s">
        <v>75</v>
      </c>
      <c r="C154" s="184" t="s">
        <v>52</v>
      </c>
      <c r="D154" s="304">
        <f t="shared" ref="D154:Q154" si="20">(D42/3.6725)</f>
        <v>6935.7889705132975</v>
      </c>
      <c r="E154" s="304">
        <f t="shared" si="20"/>
        <v>8228.0059938669147</v>
      </c>
      <c r="F154" s="304">
        <f t="shared" si="20"/>
        <v>9002.1744753978965</v>
      </c>
      <c r="G154" s="304">
        <f t="shared" si="20"/>
        <v>9181.3086204940519</v>
      </c>
      <c r="H154" s="304">
        <f t="shared" si="20"/>
        <v>10444.548019274809</v>
      </c>
      <c r="I154" s="304">
        <f t="shared" si="20"/>
        <v>10840.315509641778</v>
      </c>
      <c r="J154" s="304">
        <f t="shared" si="20"/>
        <v>11644.859094757494</v>
      </c>
      <c r="K154" s="304">
        <f t="shared" si="20"/>
        <v>11699.374071383121</v>
      </c>
      <c r="L154" s="304">
        <f t="shared" si="20"/>
        <v>11724.298785544099</v>
      </c>
      <c r="M154" s="304">
        <f t="shared" si="20"/>
        <v>12153.898316181157</v>
      </c>
      <c r="N154" s="304">
        <f t="shared" si="20"/>
        <v>9885.5481414681981</v>
      </c>
      <c r="O154" s="304">
        <f t="shared" si="20"/>
        <v>12188.32425190323</v>
      </c>
      <c r="P154" s="304">
        <f t="shared" si="20"/>
        <v>15316.767244813927</v>
      </c>
      <c r="Q154" s="304">
        <f t="shared" si="20"/>
        <v>16342.851397597287</v>
      </c>
      <c r="R154" s="37" t="s">
        <v>128</v>
      </c>
      <c r="S154" s="138"/>
    </row>
    <row r="155" spans="2:19" s="1" customFormat="1" ht="25.15" customHeight="1">
      <c r="B155" s="121" t="s">
        <v>76</v>
      </c>
      <c r="C155" s="184" t="s">
        <v>53</v>
      </c>
      <c r="D155" s="304">
        <f t="shared" ref="D155:Q155" si="21">(D43/3.6725)</f>
        <v>5007.2813235332023</v>
      </c>
      <c r="E155" s="304">
        <f t="shared" si="21"/>
        <v>6378.058828827865</v>
      </c>
      <c r="F155" s="304">
        <f t="shared" si="21"/>
        <v>6954.447790818067</v>
      </c>
      <c r="G155" s="304">
        <f t="shared" si="21"/>
        <v>6054.4602228787789</v>
      </c>
      <c r="H155" s="304">
        <f t="shared" si="21"/>
        <v>6819.4614657443553</v>
      </c>
      <c r="I155" s="304">
        <f t="shared" si="21"/>
        <v>7514.8121461322007</v>
      </c>
      <c r="J155" s="304">
        <f t="shared" si="21"/>
        <v>7481.1329911060684</v>
      </c>
      <c r="K155" s="304">
        <f t="shared" si="21"/>
        <v>7775.7809954265267</v>
      </c>
      <c r="L155" s="304">
        <f t="shared" si="21"/>
        <v>8633.7821283456797</v>
      </c>
      <c r="M155" s="304">
        <f t="shared" si="21"/>
        <v>8650.162145284914</v>
      </c>
      <c r="N155" s="304">
        <f t="shared" si="21"/>
        <v>8787.4541802047079</v>
      </c>
      <c r="O155" s="304">
        <f t="shared" si="21"/>
        <v>10096.374195285438</v>
      </c>
      <c r="P155" s="304">
        <f t="shared" si="21"/>
        <v>11446.83007721083</v>
      </c>
      <c r="Q155" s="304">
        <f t="shared" si="21"/>
        <v>11796.698201022173</v>
      </c>
      <c r="R155" s="37" t="s">
        <v>129</v>
      </c>
      <c r="S155" s="138"/>
    </row>
    <row r="156" spans="2:19" s="1" customFormat="1" ht="25.15" customHeight="1">
      <c r="B156" s="121" t="s">
        <v>77</v>
      </c>
      <c r="C156" s="185" t="s">
        <v>54</v>
      </c>
      <c r="D156" s="104">
        <f t="shared" ref="D156:Q156" si="22">(D44/3.6725)</f>
        <v>5940.2076661435558</v>
      </c>
      <c r="E156" s="104">
        <f t="shared" si="22"/>
        <v>6342.6672467414064</v>
      </c>
      <c r="F156" s="104">
        <f t="shared" si="22"/>
        <v>6675.655203770265</v>
      </c>
      <c r="G156" s="104">
        <f t="shared" si="22"/>
        <v>7870.2751726442821</v>
      </c>
      <c r="H156" s="104">
        <f t="shared" si="22"/>
        <v>7922.7254370256942</v>
      </c>
      <c r="I156" s="104">
        <f t="shared" si="22"/>
        <v>8678.5533624617365</v>
      </c>
      <c r="J156" s="104">
        <f t="shared" si="22"/>
        <v>8466.3422259670751</v>
      </c>
      <c r="K156" s="104">
        <f t="shared" si="22"/>
        <v>8214.3894478557741</v>
      </c>
      <c r="L156" s="104">
        <f t="shared" si="22"/>
        <v>8473.1136657006737</v>
      </c>
      <c r="M156" s="104">
        <f t="shared" si="22"/>
        <v>8677.0250389361718</v>
      </c>
      <c r="N156" s="104">
        <f t="shared" si="22"/>
        <v>8164.8977263857942</v>
      </c>
      <c r="O156" s="104">
        <f t="shared" si="22"/>
        <v>8153.3800646024492</v>
      </c>
      <c r="P156" s="104">
        <f t="shared" si="22"/>
        <v>8933.2194717536549</v>
      </c>
      <c r="Q156" s="104">
        <f t="shared" si="22"/>
        <v>10618.222273418498</v>
      </c>
      <c r="R156" s="186" t="s">
        <v>55</v>
      </c>
      <c r="S156" s="138"/>
    </row>
    <row r="157" spans="2:19" s="1" customFormat="1" ht="25.15" customHeight="1">
      <c r="B157" s="121" t="s">
        <v>78</v>
      </c>
      <c r="C157" s="184" t="s">
        <v>56</v>
      </c>
      <c r="D157" s="304">
        <f t="shared" ref="D157:Q157" si="23">(D45/3.6725)</f>
        <v>6845.8531410117275</v>
      </c>
      <c r="E157" s="304">
        <f t="shared" si="23"/>
        <v>6732.4421461722668</v>
      </c>
      <c r="F157" s="304">
        <f t="shared" si="23"/>
        <v>7550.2956598919809</v>
      </c>
      <c r="G157" s="304">
        <f t="shared" si="23"/>
        <v>7860.4164309303023</v>
      </c>
      <c r="H157" s="304">
        <f t="shared" si="23"/>
        <v>8999.1919103309356</v>
      </c>
      <c r="I157" s="304">
        <f t="shared" si="23"/>
        <v>10026.184617039984</v>
      </c>
      <c r="J157" s="304">
        <f t="shared" si="23"/>
        <v>9705.0389119336123</v>
      </c>
      <c r="K157" s="304">
        <f t="shared" si="23"/>
        <v>9603.7741850819475</v>
      </c>
      <c r="L157" s="304">
        <f t="shared" si="23"/>
        <v>9372.7174681408214</v>
      </c>
      <c r="M157" s="304">
        <f t="shared" si="23"/>
        <v>9600.4018647515459</v>
      </c>
      <c r="N157" s="304">
        <f t="shared" si="23"/>
        <v>9518.721912908497</v>
      </c>
      <c r="O157" s="304">
        <f t="shared" si="23"/>
        <v>9729.1092759339917</v>
      </c>
      <c r="P157" s="304">
        <f t="shared" si="23"/>
        <v>11253.779834312809</v>
      </c>
      <c r="Q157" s="304">
        <f t="shared" si="23"/>
        <v>12712.959729708095</v>
      </c>
      <c r="R157" s="37" t="s">
        <v>130</v>
      </c>
      <c r="S157" s="138"/>
    </row>
    <row r="158" spans="2:19" s="1" customFormat="1" ht="25.15" customHeight="1">
      <c r="B158" s="121" t="s">
        <v>205</v>
      </c>
      <c r="C158" s="184" t="s">
        <v>188</v>
      </c>
      <c r="D158" s="304">
        <f t="shared" ref="D158:Q158" si="24">(D46/3.6725)</f>
        <v>11337.23307664023</v>
      </c>
      <c r="E158" s="304">
        <f t="shared" si="24"/>
        <v>9935.7894418842625</v>
      </c>
      <c r="F158" s="304">
        <f t="shared" si="24"/>
        <v>10608.168905827753</v>
      </c>
      <c r="G158" s="304">
        <f t="shared" si="24"/>
        <v>9442.4890226040498</v>
      </c>
      <c r="H158" s="304">
        <f t="shared" si="24"/>
        <v>10138.214934189271</v>
      </c>
      <c r="I158" s="304">
        <f t="shared" si="24"/>
        <v>11982.847601601263</v>
      </c>
      <c r="J158" s="304">
        <f t="shared" si="24"/>
        <v>10784.198544782583</v>
      </c>
      <c r="K158" s="304">
        <f t="shared" si="24"/>
        <v>11349.668894745511</v>
      </c>
      <c r="L158" s="304">
        <f t="shared" si="24"/>
        <v>12455.218778438688</v>
      </c>
      <c r="M158" s="304">
        <f t="shared" si="24"/>
        <v>14454.034587128628</v>
      </c>
      <c r="N158" s="304">
        <f t="shared" si="24"/>
        <v>13113.692365319486</v>
      </c>
      <c r="O158" s="304">
        <f t="shared" si="24"/>
        <v>14499.597999957959</v>
      </c>
      <c r="P158" s="304">
        <f t="shared" si="24"/>
        <v>16286.854310713921</v>
      </c>
      <c r="Q158" s="304">
        <f t="shared" si="24"/>
        <v>16314.739808252134</v>
      </c>
      <c r="R158" s="37" t="s">
        <v>206</v>
      </c>
      <c r="S158" s="138"/>
    </row>
    <row r="159" spans="2:19" s="1" customFormat="1" ht="25.15" customHeight="1">
      <c r="B159" s="121" t="s">
        <v>79</v>
      </c>
      <c r="C159" s="185" t="s">
        <v>57</v>
      </c>
      <c r="D159" s="104">
        <f t="shared" ref="D159:Q159" si="25">(D47/3.6725)</f>
        <v>11130.520502827711</v>
      </c>
      <c r="E159" s="104">
        <f t="shared" si="25"/>
        <v>15612.75895355586</v>
      </c>
      <c r="F159" s="104">
        <f t="shared" si="25"/>
        <v>15023.398386795821</v>
      </c>
      <c r="G159" s="104">
        <f t="shared" si="25"/>
        <v>14374.019907976386</v>
      </c>
      <c r="H159" s="104">
        <f t="shared" si="25"/>
        <v>13868.765000107351</v>
      </c>
      <c r="I159" s="104">
        <f t="shared" si="25"/>
        <v>14542.427675481826</v>
      </c>
      <c r="J159" s="104">
        <f t="shared" si="25"/>
        <v>14080.445205135075</v>
      </c>
      <c r="K159" s="104">
        <f t="shared" si="25"/>
        <v>15854.98160665057</v>
      </c>
      <c r="L159" s="104">
        <f t="shared" si="25"/>
        <v>16457.54381804751</v>
      </c>
      <c r="M159" s="104">
        <f t="shared" si="25"/>
        <v>15564.578935532205</v>
      </c>
      <c r="N159" s="104">
        <f t="shared" si="25"/>
        <v>14102.682697444287</v>
      </c>
      <c r="O159" s="104">
        <f t="shared" si="25"/>
        <v>16315.457405899544</v>
      </c>
      <c r="P159" s="104">
        <f t="shared" si="25"/>
        <v>17540.396334814883</v>
      </c>
      <c r="Q159" s="104">
        <f t="shared" si="25"/>
        <v>18137.447851819623</v>
      </c>
      <c r="R159" s="186" t="s">
        <v>131</v>
      </c>
      <c r="S159" s="138"/>
    </row>
    <row r="160" spans="2:19" s="1" customFormat="1" ht="25.15" customHeight="1">
      <c r="B160" s="121" t="s">
        <v>80</v>
      </c>
      <c r="C160" s="184" t="s">
        <v>58</v>
      </c>
      <c r="D160" s="304">
        <f t="shared" ref="D160:Q160" si="26">(D48/3.6725)</f>
        <v>2345.6215551298824</v>
      </c>
      <c r="E160" s="304">
        <f t="shared" si="26"/>
        <v>2600.2418064581193</v>
      </c>
      <c r="F160" s="304">
        <f t="shared" si="26"/>
        <v>2462.8830340878117</v>
      </c>
      <c r="G160" s="304">
        <f t="shared" si="26"/>
        <v>2683.285773915798</v>
      </c>
      <c r="H160" s="304">
        <f t="shared" si="26"/>
        <v>3078.9447637773173</v>
      </c>
      <c r="I160" s="304">
        <f t="shared" si="26"/>
        <v>3226.8839956476299</v>
      </c>
      <c r="J160" s="304">
        <f t="shared" si="26"/>
        <v>3229.787083590254</v>
      </c>
      <c r="K160" s="304">
        <f t="shared" si="26"/>
        <v>3472.5548121947513</v>
      </c>
      <c r="L160" s="304">
        <f t="shared" si="26"/>
        <v>3451.3801838863014</v>
      </c>
      <c r="M160" s="304">
        <f t="shared" si="26"/>
        <v>3479.9043473692805</v>
      </c>
      <c r="N160" s="304">
        <f t="shared" si="26"/>
        <v>3283.3618983556353</v>
      </c>
      <c r="O160" s="304">
        <f t="shared" si="26"/>
        <v>3627.0888529585955</v>
      </c>
      <c r="P160" s="304">
        <f t="shared" si="26"/>
        <v>4046.1722499905991</v>
      </c>
      <c r="Q160" s="304">
        <f t="shared" si="26"/>
        <v>4297.6186869730327</v>
      </c>
      <c r="R160" s="37" t="s">
        <v>59</v>
      </c>
      <c r="S160" s="138"/>
    </row>
    <row r="161" spans="2:19" s="1" customFormat="1" ht="25.15" customHeight="1">
      <c r="B161" s="121" t="s">
        <v>81</v>
      </c>
      <c r="C161" s="184" t="s">
        <v>60</v>
      </c>
      <c r="D161" s="304">
        <f t="shared" ref="D161:Q161" si="27">(D49/3.6725)</f>
        <v>2211.1521870044648</v>
      </c>
      <c r="E161" s="304">
        <f t="shared" si="27"/>
        <v>2185.7808631553221</v>
      </c>
      <c r="F161" s="304">
        <f t="shared" si="27"/>
        <v>2503.1357131935929</v>
      </c>
      <c r="G161" s="304">
        <f t="shared" si="27"/>
        <v>2738.9263170224112</v>
      </c>
      <c r="H161" s="304">
        <f t="shared" si="27"/>
        <v>3456.4369183543381</v>
      </c>
      <c r="I161" s="304">
        <f t="shared" si="27"/>
        <v>3476.6225250705775</v>
      </c>
      <c r="J161" s="304">
        <f t="shared" si="27"/>
        <v>3752.8589382958439</v>
      </c>
      <c r="K161" s="304">
        <f t="shared" si="27"/>
        <v>4065.0280165638801</v>
      </c>
      <c r="L161" s="304">
        <f t="shared" si="27"/>
        <v>4234.6684514977142</v>
      </c>
      <c r="M161" s="304">
        <f t="shared" si="27"/>
        <v>4926.9859556021502</v>
      </c>
      <c r="N161" s="304">
        <f t="shared" si="27"/>
        <v>7028.6123539895198</v>
      </c>
      <c r="O161" s="304">
        <f t="shared" si="27"/>
        <v>8655.8984027099123</v>
      </c>
      <c r="P161" s="304">
        <f t="shared" si="27"/>
        <v>8541.7685029628774</v>
      </c>
      <c r="Q161" s="304">
        <f t="shared" si="27"/>
        <v>9020.5162719991931</v>
      </c>
      <c r="R161" s="37" t="s">
        <v>132</v>
      </c>
      <c r="S161" s="138"/>
    </row>
    <row r="162" spans="2:19" s="1" customFormat="1" ht="25.15" customHeight="1">
      <c r="B162" s="121" t="s">
        <v>82</v>
      </c>
      <c r="C162" s="184" t="s">
        <v>61</v>
      </c>
      <c r="D162" s="304">
        <f t="shared" ref="D162:Q162" si="28">(D50/3.6725)</f>
        <v>1359.8188170170451</v>
      </c>
      <c r="E162" s="304">
        <f t="shared" si="28"/>
        <v>1842.2019349277805</v>
      </c>
      <c r="F162" s="304">
        <f t="shared" si="28"/>
        <v>2107.4540830960982</v>
      </c>
      <c r="G162" s="304">
        <f t="shared" si="28"/>
        <v>1711.1692724765967</v>
      </c>
      <c r="H162" s="304">
        <f t="shared" si="28"/>
        <v>2259.8376015574131</v>
      </c>
      <c r="I162" s="304">
        <f t="shared" si="28"/>
        <v>2319.6532491685816</v>
      </c>
      <c r="J162" s="304">
        <f t="shared" si="28"/>
        <v>2394.4335611922006</v>
      </c>
      <c r="K162" s="304">
        <f t="shared" si="28"/>
        <v>2511.9731572040218</v>
      </c>
      <c r="L162" s="304">
        <f t="shared" si="28"/>
        <v>2789.8306029875503</v>
      </c>
      <c r="M162" s="304">
        <f t="shared" si="28"/>
        <v>2750.0642319074682</v>
      </c>
      <c r="N162" s="304">
        <f t="shared" si="28"/>
        <v>2460.3476713986615</v>
      </c>
      <c r="O162" s="304">
        <f t="shared" si="28"/>
        <v>2676.7719089728466</v>
      </c>
      <c r="P162" s="304">
        <f t="shared" si="28"/>
        <v>2956.7374318824332</v>
      </c>
      <c r="Q162" s="304">
        <f t="shared" si="28"/>
        <v>3105.4444564477076</v>
      </c>
      <c r="R162" s="37" t="s">
        <v>133</v>
      </c>
      <c r="S162" s="138"/>
    </row>
    <row r="163" spans="2:19" s="1" customFormat="1" ht="25.15" customHeight="1">
      <c r="B163" s="66" t="s">
        <v>83</v>
      </c>
      <c r="C163" s="6" t="s">
        <v>114</v>
      </c>
      <c r="D163" s="264">
        <f t="shared" ref="D163:Q163" si="29">(D51/3.6725)</f>
        <v>0</v>
      </c>
      <c r="E163" s="264">
        <f t="shared" si="29"/>
        <v>0</v>
      </c>
      <c r="F163" s="264">
        <f t="shared" si="29"/>
        <v>0</v>
      </c>
      <c r="G163" s="264">
        <f t="shared" si="29"/>
        <v>0</v>
      </c>
      <c r="H163" s="264">
        <f t="shared" si="29"/>
        <v>0</v>
      </c>
      <c r="I163" s="264">
        <f t="shared" si="29"/>
        <v>0</v>
      </c>
      <c r="J163" s="264">
        <f t="shared" si="29"/>
        <v>0</v>
      </c>
      <c r="K163" s="264">
        <f t="shared" si="29"/>
        <v>0</v>
      </c>
      <c r="L163" s="264">
        <f t="shared" si="29"/>
        <v>0</v>
      </c>
      <c r="M163" s="264">
        <f t="shared" si="29"/>
        <v>0</v>
      </c>
      <c r="N163" s="264">
        <f t="shared" si="29"/>
        <v>0</v>
      </c>
      <c r="O163" s="264">
        <f t="shared" si="29"/>
        <v>0</v>
      </c>
      <c r="P163" s="264">
        <f t="shared" si="29"/>
        <v>0</v>
      </c>
      <c r="Q163" s="264">
        <f t="shared" si="29"/>
        <v>0</v>
      </c>
      <c r="R163" s="23" t="s">
        <v>134</v>
      </c>
      <c r="S163" s="138"/>
    </row>
    <row r="164" spans="2:19" s="1" customFormat="1" ht="25.15" customHeight="1">
      <c r="B164" s="539" t="s">
        <v>0</v>
      </c>
      <c r="C164" s="539"/>
      <c r="D164" s="108">
        <f>SUM(D147:D163)</f>
        <v>209126.80859641352</v>
      </c>
      <c r="E164" s="108">
        <f t="shared" ref="E164:Q164" si="30">SUM(E147:E163)</f>
        <v>253103.20668254013</v>
      </c>
      <c r="F164" s="108">
        <f t="shared" si="30"/>
        <v>259447.99959730852</v>
      </c>
      <c r="G164" s="108">
        <f t="shared" si="30"/>
        <v>255819.11779563007</v>
      </c>
      <c r="H164" s="108">
        <f t="shared" si="30"/>
        <v>268724.27664777718</v>
      </c>
      <c r="I164" s="108">
        <f t="shared" si="30"/>
        <v>272210.15457470168</v>
      </c>
      <c r="J164" s="108">
        <f t="shared" si="30"/>
        <v>276096.39242536313</v>
      </c>
      <c r="K164" s="108">
        <f t="shared" si="30"/>
        <v>295959.91736698675</v>
      </c>
      <c r="L164" s="108">
        <f t="shared" si="30"/>
        <v>312488.32080378884</v>
      </c>
      <c r="M164" s="108">
        <f t="shared" si="30"/>
        <v>313337.39635225327</v>
      </c>
      <c r="N164" s="108">
        <f t="shared" si="30"/>
        <v>280670.48219181184</v>
      </c>
      <c r="O164" s="108">
        <f t="shared" si="30"/>
        <v>331716.88495315303</v>
      </c>
      <c r="P164" s="108">
        <f t="shared" si="30"/>
        <v>394313.14214469417</v>
      </c>
      <c r="Q164" s="108">
        <f t="shared" si="30"/>
        <v>417963.77777366492</v>
      </c>
      <c r="R164" s="62" t="s">
        <v>19</v>
      </c>
      <c r="S164" s="138"/>
    </row>
    <row r="165" spans="2:19" ht="25.15" customHeight="1" thickBot="1">
      <c r="B165" s="541" t="s">
        <v>62</v>
      </c>
      <c r="C165" s="541"/>
      <c r="D165" s="301">
        <f>D164-D148</f>
        <v>204868.95559720026</v>
      </c>
      <c r="E165" s="301">
        <f t="shared" ref="E165:Q165" si="31">E164-E148</f>
        <v>247808.49525660573</v>
      </c>
      <c r="F165" s="301">
        <f t="shared" si="31"/>
        <v>253853.07086882056</v>
      </c>
      <c r="G165" s="301">
        <f t="shared" si="31"/>
        <v>248534.19012909659</v>
      </c>
      <c r="H165" s="301">
        <f t="shared" si="31"/>
        <v>260639.28147534927</v>
      </c>
      <c r="I165" s="301">
        <f t="shared" si="31"/>
        <v>262838.59761116008</v>
      </c>
      <c r="J165" s="301">
        <f t="shared" si="31"/>
        <v>267319.3482118884</v>
      </c>
      <c r="K165" s="301">
        <f t="shared" si="31"/>
        <v>280335.86814907886</v>
      </c>
      <c r="L165" s="301">
        <f t="shared" si="31"/>
        <v>300251.13897921634</v>
      </c>
      <c r="M165" s="301">
        <f t="shared" si="31"/>
        <v>302657.24147430126</v>
      </c>
      <c r="N165" s="301">
        <f t="shared" si="31"/>
        <v>272696.85326097644</v>
      </c>
      <c r="O165" s="301">
        <f t="shared" si="31"/>
        <v>319523.75581353751</v>
      </c>
      <c r="P165" s="301">
        <f t="shared" si="31"/>
        <v>376684.85643753107</v>
      </c>
      <c r="Q165" s="301">
        <f t="shared" si="31"/>
        <v>402849.29660908278</v>
      </c>
      <c r="R165" s="70" t="s">
        <v>63</v>
      </c>
      <c r="S165" s="138"/>
    </row>
    <row r="166" spans="2:19" ht="24.95" customHeight="1">
      <c r="B166" s="534" t="s">
        <v>326</v>
      </c>
      <c r="C166" s="534"/>
      <c r="D166" s="31"/>
      <c r="E166" s="31"/>
      <c r="F166" s="31"/>
      <c r="G166" s="31"/>
      <c r="H166" s="31"/>
      <c r="I166" s="31"/>
      <c r="J166" s="31"/>
      <c r="K166" s="31"/>
      <c r="L166" s="31"/>
      <c r="M166" s="31"/>
      <c r="N166" s="31"/>
      <c r="O166" s="31"/>
      <c r="P166" s="31"/>
      <c r="Q166" s="31"/>
      <c r="R166" s="313" t="s">
        <v>327</v>
      </c>
    </row>
    <row r="167" spans="2:19" s="1" customFormat="1" ht="24.95" customHeight="1">
      <c r="B167" s="535" t="s">
        <v>399</v>
      </c>
      <c r="C167" s="535"/>
      <c r="D167" s="11"/>
      <c r="E167" s="11"/>
      <c r="F167" s="11"/>
      <c r="G167" s="11"/>
      <c r="H167" s="11"/>
      <c r="I167" s="11"/>
      <c r="J167" s="11"/>
      <c r="K167" s="11"/>
      <c r="L167" s="11"/>
      <c r="M167" s="11"/>
      <c r="N167" s="11"/>
      <c r="O167" s="11"/>
      <c r="P167" s="11"/>
      <c r="Q167" s="11"/>
      <c r="R167" s="313" t="s">
        <v>193</v>
      </c>
    </row>
    <row r="168" spans="2:19" s="1" customFormat="1" ht="24.95" customHeight="1">
      <c r="B168" s="81" t="s">
        <v>192</v>
      </c>
      <c r="C168" s="81"/>
      <c r="D168" s="78"/>
      <c r="E168" s="78"/>
      <c r="F168" s="78"/>
      <c r="G168" s="78"/>
      <c r="H168" s="78"/>
      <c r="I168" s="78"/>
      <c r="J168" s="78"/>
      <c r="K168" s="78"/>
      <c r="L168" s="78"/>
      <c r="M168" s="78"/>
      <c r="N168" s="78"/>
      <c r="O168" s="78"/>
      <c r="P168" s="78"/>
      <c r="Q168" s="78"/>
      <c r="R168" s="81" t="s">
        <v>551</v>
      </c>
    </row>
    <row r="169" spans="2:19" ht="24.95" customHeight="1">
      <c r="B169" s="76"/>
      <c r="C169" s="77"/>
      <c r="D169" s="78"/>
      <c r="E169" s="78"/>
      <c r="F169" s="79"/>
      <c r="G169" s="80"/>
      <c r="H169" s="1"/>
      <c r="I169" s="8"/>
      <c r="J169" s="1"/>
      <c r="K169" s="8"/>
      <c r="L169" s="8"/>
      <c r="M169" s="8"/>
      <c r="N169" s="8"/>
      <c r="O169" s="8"/>
      <c r="P169" s="8"/>
      <c r="Q169" s="8"/>
      <c r="R169" s="81"/>
    </row>
    <row r="170" spans="2:19" ht="24.95" customHeight="1">
      <c r="B170" s="507" t="s">
        <v>419</v>
      </c>
      <c r="C170" s="507"/>
      <c r="D170" s="507"/>
      <c r="E170" s="507"/>
      <c r="F170" s="507"/>
      <c r="G170" s="507"/>
      <c r="H170" s="507"/>
      <c r="I170" s="507"/>
      <c r="J170" s="507"/>
      <c r="K170" s="507"/>
      <c r="L170" s="507"/>
      <c r="M170" s="507"/>
      <c r="N170" s="507"/>
      <c r="O170" s="507"/>
      <c r="P170" s="507"/>
      <c r="Q170" s="507"/>
      <c r="R170" s="507"/>
    </row>
    <row r="171" spans="2:19" ht="25.15" customHeight="1">
      <c r="B171" s="529" t="s">
        <v>420</v>
      </c>
      <c r="C171" s="529"/>
      <c r="D171" s="529"/>
      <c r="E171" s="529"/>
      <c r="F171" s="529"/>
      <c r="G171" s="529"/>
      <c r="H171" s="529"/>
      <c r="I171" s="529"/>
      <c r="J171" s="529"/>
      <c r="K171" s="529"/>
      <c r="L171" s="529"/>
      <c r="M171" s="529"/>
      <c r="N171" s="529"/>
      <c r="O171" s="529"/>
      <c r="P171" s="529"/>
      <c r="Q171" s="529"/>
      <c r="R171" s="529"/>
    </row>
    <row r="172" spans="2:19" ht="25.15" customHeight="1">
      <c r="B172" s="179"/>
      <c r="C172" s="179"/>
      <c r="D172" s="179"/>
      <c r="E172" s="179"/>
      <c r="F172" s="179"/>
      <c r="G172" s="179"/>
      <c r="H172" s="179"/>
      <c r="I172" s="179"/>
      <c r="J172" s="179"/>
      <c r="K172" s="179"/>
      <c r="L172" s="179"/>
      <c r="M172" s="179"/>
      <c r="N172" s="179"/>
      <c r="O172" s="179"/>
      <c r="P172" s="179"/>
      <c r="Q172" s="179"/>
      <c r="R172" s="211" t="s">
        <v>204</v>
      </c>
    </row>
    <row r="173" spans="2:19" ht="25.15" customHeight="1">
      <c r="B173" s="3" t="s">
        <v>67</v>
      </c>
      <c r="C173" s="88" t="s">
        <v>117</v>
      </c>
      <c r="D173" s="49">
        <v>2010</v>
      </c>
      <c r="E173" s="50">
        <v>2011</v>
      </c>
      <c r="F173" s="50">
        <v>2012</v>
      </c>
      <c r="G173" s="50">
        <v>2013</v>
      </c>
      <c r="H173" s="50">
        <v>2014</v>
      </c>
      <c r="I173" s="50">
        <v>2015</v>
      </c>
      <c r="J173" s="50">
        <v>2016</v>
      </c>
      <c r="K173" s="50">
        <v>2017</v>
      </c>
      <c r="L173" s="3">
        <v>2018</v>
      </c>
      <c r="M173" s="50">
        <v>2019</v>
      </c>
      <c r="N173" s="49">
        <v>2020</v>
      </c>
      <c r="O173" s="49">
        <v>2021</v>
      </c>
      <c r="P173" s="49" t="s">
        <v>185</v>
      </c>
      <c r="Q173" s="49" t="s">
        <v>186</v>
      </c>
      <c r="R173" s="3" t="s">
        <v>118</v>
      </c>
    </row>
    <row r="174" spans="2:19" ht="25.15" customHeight="1">
      <c r="B174" s="68"/>
      <c r="C174" s="36" t="s">
        <v>43</v>
      </c>
      <c r="D174" s="104">
        <v>60891.77141252617</v>
      </c>
      <c r="E174" s="104">
        <v>65878.650054255471</v>
      </c>
      <c r="F174" s="104">
        <v>70704.927826948464</v>
      </c>
      <c r="G174" s="104">
        <v>79179.551596697915</v>
      </c>
      <c r="H174" s="104">
        <v>83829.503678183828</v>
      </c>
      <c r="I174" s="104">
        <v>87841.037697485575</v>
      </c>
      <c r="J174" s="104">
        <v>94736.84646109544</v>
      </c>
      <c r="K174" s="104">
        <v>100102.80051921376</v>
      </c>
      <c r="L174" s="104">
        <v>104223.16471362567</v>
      </c>
      <c r="M174" s="104">
        <v>107265.76699903877</v>
      </c>
      <c r="N174" s="104">
        <v>101224.98126252009</v>
      </c>
      <c r="O174" s="104">
        <v>108052.53334836508</v>
      </c>
      <c r="P174" s="104">
        <v>121795.11834964063</v>
      </c>
      <c r="Q174" s="104">
        <v>127827.15127971479</v>
      </c>
      <c r="R174" s="186" t="s">
        <v>44</v>
      </c>
      <c r="S174" s="138"/>
    </row>
    <row r="175" spans="2:19" ht="25.15" customHeight="1">
      <c r="B175" s="121" t="s">
        <v>68</v>
      </c>
      <c r="C175" s="184" t="s">
        <v>45</v>
      </c>
      <c r="D175" s="304">
        <v>747.06066669066547</v>
      </c>
      <c r="E175" s="304">
        <v>801.68858939884944</v>
      </c>
      <c r="F175" s="304">
        <v>819.02306983851634</v>
      </c>
      <c r="G175" s="304">
        <v>884.3277203128514</v>
      </c>
      <c r="H175" s="304">
        <v>926.51173116736481</v>
      </c>
      <c r="I175" s="304">
        <v>962.84736445459271</v>
      </c>
      <c r="J175" s="304">
        <v>987.38411825684295</v>
      </c>
      <c r="K175" s="304">
        <v>1032.3275573400795</v>
      </c>
      <c r="L175" s="304">
        <v>1057.1066781186144</v>
      </c>
      <c r="M175" s="304">
        <v>1081.0086951191154</v>
      </c>
      <c r="N175" s="304">
        <v>1129.3106210170085</v>
      </c>
      <c r="O175" s="304">
        <v>1109.2872584393949</v>
      </c>
      <c r="P175" s="304">
        <v>1131.4788609346294</v>
      </c>
      <c r="Q175" s="304">
        <v>1161.2872726904179</v>
      </c>
      <c r="R175" s="37" t="s">
        <v>123</v>
      </c>
      <c r="S175" s="138"/>
    </row>
    <row r="176" spans="2:19" ht="25.15" customHeight="1">
      <c r="B176" s="121" t="s">
        <v>69</v>
      </c>
      <c r="C176" s="184" t="s">
        <v>46</v>
      </c>
      <c r="D176" s="304">
        <v>2582.8902970448958</v>
      </c>
      <c r="E176" s="304">
        <v>2894.1622238182549</v>
      </c>
      <c r="F176" s="304">
        <v>3487.3507643508519</v>
      </c>
      <c r="G176" s="304">
        <v>4109.9252922409423</v>
      </c>
      <c r="H176" s="304">
        <v>4629.4177532282465</v>
      </c>
      <c r="I176" s="304">
        <v>5413.2417395908124</v>
      </c>
      <c r="J176" s="304">
        <v>5023.5382046838758</v>
      </c>
      <c r="K176" s="304">
        <v>5287.7855234709086</v>
      </c>
      <c r="L176" s="304">
        <v>5562.8360850466952</v>
      </c>
      <c r="M176" s="304">
        <v>5526.5924434221306</v>
      </c>
      <c r="N176" s="304">
        <v>5786.7279002838104</v>
      </c>
      <c r="O176" s="304">
        <v>6843.7880100493794</v>
      </c>
      <c r="P176" s="304">
        <v>7204.2874789569914</v>
      </c>
      <c r="Q176" s="304">
        <v>7195.7082826045489</v>
      </c>
      <c r="R176" s="37" t="s">
        <v>124</v>
      </c>
      <c r="S176" s="138"/>
    </row>
    <row r="177" spans="2:19" ht="25.15" customHeight="1">
      <c r="B177" s="121" t="s">
        <v>70</v>
      </c>
      <c r="C177" s="184" t="s">
        <v>13</v>
      </c>
      <c r="D177" s="304">
        <v>8280.8897493623263</v>
      </c>
      <c r="E177" s="304">
        <v>9175.9285765777458</v>
      </c>
      <c r="F177" s="304">
        <v>9820.9973381989239</v>
      </c>
      <c r="G177" s="304">
        <v>10475.214697461401</v>
      </c>
      <c r="H177" s="304">
        <v>11260.199858568178</v>
      </c>
      <c r="I177" s="304">
        <v>11921.180623805676</v>
      </c>
      <c r="J177" s="304">
        <v>12005.984850266237</v>
      </c>
      <c r="K177" s="304">
        <v>12642.325236743556</v>
      </c>
      <c r="L177" s="304">
        <v>12445.486052492677</v>
      </c>
      <c r="M177" s="304">
        <v>12927.023451006764</v>
      </c>
      <c r="N177" s="304">
        <v>12547.070715529297</v>
      </c>
      <c r="O177" s="304">
        <v>13125.227153216953</v>
      </c>
      <c r="P177" s="304">
        <v>13836.246184673726</v>
      </c>
      <c r="Q177" s="304">
        <v>14419.205678068582</v>
      </c>
      <c r="R177" s="37" t="s">
        <v>47</v>
      </c>
      <c r="S177" s="138"/>
    </row>
    <row r="178" spans="2:19" ht="25.15" customHeight="1">
      <c r="B178" s="121" t="s">
        <v>71</v>
      </c>
      <c r="C178" s="184" t="s">
        <v>48</v>
      </c>
      <c r="D178" s="304">
        <v>1177.4596261213362</v>
      </c>
      <c r="E178" s="304">
        <v>1212.2731355465014</v>
      </c>
      <c r="F178" s="304">
        <v>1238.4438198107896</v>
      </c>
      <c r="G178" s="304">
        <v>1392.6406110814182</v>
      </c>
      <c r="H178" s="304">
        <v>1491.6641532824608</v>
      </c>
      <c r="I178" s="304">
        <v>1563.3976295014872</v>
      </c>
      <c r="J178" s="304">
        <v>1731.7887787355335</v>
      </c>
      <c r="K178" s="304">
        <v>1952.9362445468346</v>
      </c>
      <c r="L178" s="304">
        <v>2191.7906615938446</v>
      </c>
      <c r="M178" s="304">
        <v>2596.7992983165418</v>
      </c>
      <c r="N178" s="304">
        <v>2862.519099972139</v>
      </c>
      <c r="O178" s="304">
        <v>3009.645595894041</v>
      </c>
      <c r="P178" s="304">
        <v>3072.8904606356191</v>
      </c>
      <c r="Q178" s="304">
        <v>3233.3133951298892</v>
      </c>
      <c r="R178" s="37" t="s">
        <v>125</v>
      </c>
      <c r="S178" s="138"/>
    </row>
    <row r="179" spans="2:19" ht="25.15" customHeight="1">
      <c r="B179" s="121" t="s">
        <v>72</v>
      </c>
      <c r="C179" s="184" t="s">
        <v>14</v>
      </c>
      <c r="D179" s="304">
        <v>11912.397469121774</v>
      </c>
      <c r="E179" s="304">
        <v>11956.112969221507</v>
      </c>
      <c r="F179" s="304">
        <v>11386.654079951366</v>
      </c>
      <c r="G179" s="304">
        <v>12691.514340011207</v>
      </c>
      <c r="H179" s="304">
        <v>13079.228860244717</v>
      </c>
      <c r="I179" s="304">
        <v>13457.298090594797</v>
      </c>
      <c r="J179" s="304">
        <v>14004.644610543746</v>
      </c>
      <c r="K179" s="304">
        <v>14755.080282856612</v>
      </c>
      <c r="L179" s="304">
        <v>15531.113562772687</v>
      </c>
      <c r="M179" s="304">
        <v>16001.966246233629</v>
      </c>
      <c r="N179" s="304">
        <v>14737.198166841496</v>
      </c>
      <c r="O179" s="304">
        <v>15237.997600182069</v>
      </c>
      <c r="P179" s="304">
        <v>16533.845950286362</v>
      </c>
      <c r="Q179" s="304">
        <v>17464.477392106797</v>
      </c>
      <c r="R179" s="37" t="s">
        <v>49</v>
      </c>
      <c r="S179" s="138"/>
    </row>
    <row r="180" spans="2:19" ht="25.15" customHeight="1">
      <c r="B180" s="121" t="s">
        <v>73</v>
      </c>
      <c r="C180" s="184" t="s">
        <v>50</v>
      </c>
      <c r="D180" s="304">
        <v>11112.19620099145</v>
      </c>
      <c r="E180" s="304">
        <v>11788.959362069278</v>
      </c>
      <c r="F180" s="304">
        <v>13150.746530693825</v>
      </c>
      <c r="G180" s="304">
        <v>15085.563595991114</v>
      </c>
      <c r="H180" s="304">
        <v>15106.653197045001</v>
      </c>
      <c r="I180" s="304">
        <v>15154.182805617886</v>
      </c>
      <c r="J180" s="304">
        <v>17902.185995420448</v>
      </c>
      <c r="K180" s="304">
        <v>18471.566232075325</v>
      </c>
      <c r="L180" s="304">
        <v>18714.836819589822</v>
      </c>
      <c r="M180" s="304">
        <v>19383.526772466928</v>
      </c>
      <c r="N180" s="304">
        <v>18624.727785479456</v>
      </c>
      <c r="O180" s="304">
        <v>20698.50165316038</v>
      </c>
      <c r="P180" s="304">
        <v>23425.102662274949</v>
      </c>
      <c r="Q180" s="304">
        <v>24175.053555219685</v>
      </c>
      <c r="R180" s="37" t="s">
        <v>126</v>
      </c>
      <c r="S180" s="138"/>
    </row>
    <row r="181" spans="2:19" ht="25.15" customHeight="1">
      <c r="B181" s="121" t="s">
        <v>74</v>
      </c>
      <c r="C181" s="184" t="s">
        <v>51</v>
      </c>
      <c r="D181" s="304">
        <v>6361.2809695590913</v>
      </c>
      <c r="E181" s="304">
        <v>7000.3152812828375</v>
      </c>
      <c r="F181" s="304">
        <v>8246.3778437244273</v>
      </c>
      <c r="G181" s="304">
        <v>8823.7831493407448</v>
      </c>
      <c r="H181" s="304">
        <v>9699.4207205510356</v>
      </c>
      <c r="I181" s="304">
        <v>10367.232190282271</v>
      </c>
      <c r="J181" s="304">
        <v>11525.987317193183</v>
      </c>
      <c r="K181" s="304">
        <v>11515.527658974808</v>
      </c>
      <c r="L181" s="304">
        <v>12006.097248156613</v>
      </c>
      <c r="M181" s="304">
        <v>11522.938649553877</v>
      </c>
      <c r="N181" s="304">
        <v>9957.683055535701</v>
      </c>
      <c r="O181" s="304">
        <v>10154.007926203612</v>
      </c>
      <c r="P181" s="304">
        <v>12716.406711236599</v>
      </c>
      <c r="Q181" s="304">
        <v>14755.034482920526</v>
      </c>
      <c r="R181" s="37" t="s">
        <v>127</v>
      </c>
      <c r="S181" s="138"/>
    </row>
    <row r="182" spans="2:19" ht="25.15" customHeight="1">
      <c r="B182" s="121" t="s">
        <v>75</v>
      </c>
      <c r="C182" s="184" t="s">
        <v>52</v>
      </c>
      <c r="D182" s="304">
        <v>2127.4622705369666</v>
      </c>
      <c r="E182" s="304">
        <v>2456.2163114775994</v>
      </c>
      <c r="F182" s="304">
        <v>2923.3222055799929</v>
      </c>
      <c r="G182" s="304">
        <v>3528.7945586859551</v>
      </c>
      <c r="H182" s="304">
        <v>3756.7013915818743</v>
      </c>
      <c r="I182" s="304">
        <v>3927.7061770350851</v>
      </c>
      <c r="J182" s="304">
        <v>4272.1893888641998</v>
      </c>
      <c r="K182" s="304">
        <v>4642.3342722919597</v>
      </c>
      <c r="L182" s="304">
        <v>4827.8515627129937</v>
      </c>
      <c r="M182" s="304">
        <v>5250.9201251816476</v>
      </c>
      <c r="N182" s="304">
        <v>4046.8121200205237</v>
      </c>
      <c r="O182" s="304">
        <v>4666.4905050565303</v>
      </c>
      <c r="P182" s="304">
        <v>5876.6295618895265</v>
      </c>
      <c r="Q182" s="304">
        <v>6164.6257315224411</v>
      </c>
      <c r="R182" s="37" t="s">
        <v>128</v>
      </c>
      <c r="S182" s="138"/>
    </row>
    <row r="183" spans="2:19" ht="25.15" customHeight="1">
      <c r="B183" s="121" t="s">
        <v>76</v>
      </c>
      <c r="C183" s="184" t="s">
        <v>53</v>
      </c>
      <c r="D183" s="304">
        <v>2293.4092315463968</v>
      </c>
      <c r="E183" s="304">
        <v>2531.2158608180507</v>
      </c>
      <c r="F183" s="304">
        <v>2326.8557396830433</v>
      </c>
      <c r="G183" s="304">
        <v>2858.3937180776529</v>
      </c>
      <c r="H183" s="304">
        <v>3109.399387230098</v>
      </c>
      <c r="I183" s="304">
        <v>3229.2359290854583</v>
      </c>
      <c r="J183" s="304">
        <v>3282.857259026151</v>
      </c>
      <c r="K183" s="304">
        <v>3594.3726661786827</v>
      </c>
      <c r="L183" s="304">
        <v>3865.9198974865476</v>
      </c>
      <c r="M183" s="304">
        <v>4093.9186769345829</v>
      </c>
      <c r="N183" s="304">
        <v>4272.8813658848467</v>
      </c>
      <c r="O183" s="304">
        <v>4568.2846783035475</v>
      </c>
      <c r="P183" s="304">
        <v>4554.4738133470773</v>
      </c>
      <c r="Q183" s="304">
        <v>4787.6107784107498</v>
      </c>
      <c r="R183" s="37" t="s">
        <v>129</v>
      </c>
      <c r="S183" s="138"/>
    </row>
    <row r="184" spans="2:19" ht="25.15" customHeight="1">
      <c r="B184" s="121" t="s">
        <v>77</v>
      </c>
      <c r="C184" s="185" t="s">
        <v>54</v>
      </c>
      <c r="D184" s="104">
        <v>5272.1281272624556</v>
      </c>
      <c r="E184" s="104">
        <v>5442.4706501758446</v>
      </c>
      <c r="F184" s="104">
        <v>5664.8959895716143</v>
      </c>
      <c r="G184" s="104">
        <v>6396.2846780285563</v>
      </c>
      <c r="H184" s="104">
        <v>7071.730563299272</v>
      </c>
      <c r="I184" s="104">
        <v>7877.2003973473693</v>
      </c>
      <c r="J184" s="104">
        <v>7877.2224023818617</v>
      </c>
      <c r="K184" s="104">
        <v>6802.4964876549911</v>
      </c>
      <c r="L184" s="104">
        <v>6630.1740382990547</v>
      </c>
      <c r="M184" s="104">
        <v>6605.0639791525191</v>
      </c>
      <c r="N184" s="104">
        <v>6477.1990011496691</v>
      </c>
      <c r="O184" s="104">
        <v>6483.6023919475647</v>
      </c>
      <c r="P184" s="104">
        <v>7849.7667415093165</v>
      </c>
      <c r="Q184" s="104">
        <v>8361.118321699998</v>
      </c>
      <c r="R184" s="186" t="s">
        <v>55</v>
      </c>
      <c r="S184" s="138"/>
    </row>
    <row r="185" spans="2:19" ht="25.15" customHeight="1">
      <c r="B185" s="121" t="s">
        <v>78</v>
      </c>
      <c r="C185" s="184" t="s">
        <v>56</v>
      </c>
      <c r="D185" s="304">
        <v>1123.7123319422376</v>
      </c>
      <c r="E185" s="304">
        <v>1401.0366042420603</v>
      </c>
      <c r="F185" s="304">
        <v>1436.0881812881062</v>
      </c>
      <c r="G185" s="304">
        <v>1498.9057848963682</v>
      </c>
      <c r="H185" s="304">
        <v>1686.9674084773244</v>
      </c>
      <c r="I185" s="304">
        <v>1811.9281406967134</v>
      </c>
      <c r="J185" s="304">
        <v>2062.0904640593194</v>
      </c>
      <c r="K185" s="304">
        <v>2331.7528251414706</v>
      </c>
      <c r="L185" s="304">
        <v>2389.4686148735182</v>
      </c>
      <c r="M185" s="304">
        <v>2380.1114411705157</v>
      </c>
      <c r="N185" s="304">
        <v>2269.3863170497466</v>
      </c>
      <c r="O185" s="304">
        <v>2460.8493482904155</v>
      </c>
      <c r="P185" s="304">
        <v>3078.2632986838416</v>
      </c>
      <c r="Q185" s="304">
        <v>3400.5858398977061</v>
      </c>
      <c r="R185" s="37" t="s">
        <v>130</v>
      </c>
      <c r="S185" s="138"/>
    </row>
    <row r="186" spans="2:19" ht="25.15" customHeight="1">
      <c r="B186" s="121" t="s">
        <v>205</v>
      </c>
      <c r="C186" s="184" t="s">
        <v>188</v>
      </c>
      <c r="D186" s="304">
        <v>6897.5325105629245</v>
      </c>
      <c r="E186" s="304">
        <v>7620.5117431661829</v>
      </c>
      <c r="F186" s="304">
        <v>8084.6079393311265</v>
      </c>
      <c r="G186" s="304">
        <v>9059.5399671345731</v>
      </c>
      <c r="H186" s="304">
        <v>9641.7467299417531</v>
      </c>
      <c r="I186" s="304">
        <v>10119.214096991391</v>
      </c>
      <c r="J186" s="304">
        <v>11172.421508113555</v>
      </c>
      <c r="K186" s="304">
        <v>11908.059339484433</v>
      </c>
      <c r="L186" s="304">
        <v>13084.459603103895</v>
      </c>
      <c r="M186" s="304">
        <v>13825.001258392515</v>
      </c>
      <c r="N186" s="304">
        <v>12733.161935279626</v>
      </c>
      <c r="O186" s="304">
        <v>12814.302570279962</v>
      </c>
      <c r="P186" s="304">
        <v>15254.152087096643</v>
      </c>
      <c r="Q186" s="304">
        <v>15298.820544734832</v>
      </c>
      <c r="R186" s="37" t="s">
        <v>206</v>
      </c>
      <c r="S186" s="138"/>
    </row>
    <row r="187" spans="2:19" ht="25.15" customHeight="1">
      <c r="B187" s="121" t="s">
        <v>79</v>
      </c>
      <c r="C187" s="185" t="s">
        <v>57</v>
      </c>
      <c r="D187" s="104">
        <v>14180.662601353833</v>
      </c>
      <c r="E187" s="104">
        <v>15168.640125582646</v>
      </c>
      <c r="F187" s="104">
        <v>17236.751181322408</v>
      </c>
      <c r="G187" s="104">
        <v>19893.572696937081</v>
      </c>
      <c r="H187" s="104">
        <v>21436.500879540949</v>
      </c>
      <c r="I187" s="104">
        <v>22425.304637688951</v>
      </c>
      <c r="J187" s="104">
        <v>23570.356293216308</v>
      </c>
      <c r="K187" s="104">
        <v>25697.970297135944</v>
      </c>
      <c r="L187" s="104">
        <v>27207.811018581822</v>
      </c>
      <c r="M187" s="104">
        <v>27191.244429839651</v>
      </c>
      <c r="N187" s="104">
        <v>27998.802267059127</v>
      </c>
      <c r="O187" s="104">
        <v>28582.708684432277</v>
      </c>
      <c r="P187" s="104">
        <v>28948.907887012516</v>
      </c>
      <c r="Q187" s="104">
        <v>30617.180753869212</v>
      </c>
      <c r="R187" s="186" t="s">
        <v>131</v>
      </c>
      <c r="S187" s="138"/>
    </row>
    <row r="188" spans="2:19" ht="25.15" customHeight="1">
      <c r="B188" s="121" t="s">
        <v>80</v>
      </c>
      <c r="C188" s="184" t="s">
        <v>58</v>
      </c>
      <c r="D188" s="304">
        <v>2782.5046666371713</v>
      </c>
      <c r="E188" s="304">
        <v>3296.6089665220711</v>
      </c>
      <c r="F188" s="304">
        <v>3663.4080765557324</v>
      </c>
      <c r="G188" s="304">
        <v>4120.7856280651649</v>
      </c>
      <c r="H188" s="304">
        <v>4637.7547025529539</v>
      </c>
      <c r="I188" s="304">
        <v>4787.2867305965374</v>
      </c>
      <c r="J188" s="304">
        <v>5150.9071262320031</v>
      </c>
      <c r="K188" s="304">
        <v>5682.034004256052</v>
      </c>
      <c r="L188" s="304">
        <v>5805.2393586440594</v>
      </c>
      <c r="M188" s="304">
        <v>5567.559955056463</v>
      </c>
      <c r="N188" s="304">
        <v>5362.7504294997052</v>
      </c>
      <c r="O188" s="304">
        <v>5555.509117380876</v>
      </c>
      <c r="P188" s="304">
        <v>6334.2686880208312</v>
      </c>
      <c r="Q188" s="304">
        <v>6587.1383204264521</v>
      </c>
      <c r="R188" s="37" t="s">
        <v>59</v>
      </c>
      <c r="S188" s="138"/>
    </row>
    <row r="189" spans="2:19" ht="25.15" customHeight="1">
      <c r="B189" s="121" t="s">
        <v>81</v>
      </c>
      <c r="C189" s="184" t="s">
        <v>60</v>
      </c>
      <c r="D189" s="304">
        <v>2563.7778092440817</v>
      </c>
      <c r="E189" s="304">
        <v>2751.4448146433456</v>
      </c>
      <c r="F189" s="304">
        <v>2897.3475857303933</v>
      </c>
      <c r="G189" s="304">
        <v>3415.9091499398796</v>
      </c>
      <c r="H189" s="304">
        <v>3525.7459733249625</v>
      </c>
      <c r="I189" s="304">
        <v>3793.9097258688835</v>
      </c>
      <c r="J189" s="304">
        <v>4126.7039308149497</v>
      </c>
      <c r="K189" s="304">
        <v>4635.8655024848731</v>
      </c>
      <c r="L189" s="304">
        <v>4974.8769818957908</v>
      </c>
      <c r="M189" s="304">
        <v>5321.4468762094493</v>
      </c>
      <c r="N189" s="304">
        <v>5218.1382921516979</v>
      </c>
      <c r="O189" s="304">
        <v>5998.637343633085</v>
      </c>
      <c r="P189" s="304">
        <v>6732.9945351080278</v>
      </c>
      <c r="Q189" s="304">
        <v>7065.3745549454979</v>
      </c>
      <c r="R189" s="37" t="s">
        <v>132</v>
      </c>
      <c r="S189" s="138"/>
    </row>
    <row r="190" spans="2:19" ht="25.15" customHeight="1">
      <c r="B190" s="121" t="s">
        <v>82</v>
      </c>
      <c r="C190" s="184" t="s">
        <v>61</v>
      </c>
      <c r="D190" s="304">
        <v>929.1976131648596</v>
      </c>
      <c r="E190" s="304">
        <v>992.17561547118248</v>
      </c>
      <c r="F190" s="304">
        <v>1223.7046522113565</v>
      </c>
      <c r="G190" s="304">
        <v>1234.2533834586447</v>
      </c>
      <c r="H190" s="304">
        <v>1278.0918109878551</v>
      </c>
      <c r="I190" s="304">
        <v>1332.376453363971</v>
      </c>
      <c r="J190" s="304">
        <v>1488.1629088853979</v>
      </c>
      <c r="K190" s="304">
        <v>1650.8331733681439</v>
      </c>
      <c r="L190" s="304">
        <v>1766.0815871379177</v>
      </c>
      <c r="M190" s="304">
        <v>1786.9531099746032</v>
      </c>
      <c r="N190" s="304">
        <v>1676.613457975066</v>
      </c>
      <c r="O190" s="304">
        <v>1810.0045882748423</v>
      </c>
      <c r="P190" s="304">
        <v>2044.0780564958286</v>
      </c>
      <c r="Q190" s="304">
        <v>2118.915451036657</v>
      </c>
      <c r="R190" s="37" t="s">
        <v>133</v>
      </c>
      <c r="S190" s="138"/>
    </row>
    <row r="191" spans="2:19" ht="25.15" customHeight="1">
      <c r="B191" s="122" t="s">
        <v>83</v>
      </c>
      <c r="C191" s="188" t="s">
        <v>114</v>
      </c>
      <c r="D191" s="104">
        <v>1262.7577970317484</v>
      </c>
      <c r="E191" s="104">
        <v>1386.0581409805129</v>
      </c>
      <c r="F191" s="104">
        <v>1480.6509424652152</v>
      </c>
      <c r="G191" s="104">
        <v>1820.1202486492334</v>
      </c>
      <c r="H191" s="104">
        <v>2071.5215299496404</v>
      </c>
      <c r="I191" s="104">
        <v>2239.6406135411503</v>
      </c>
      <c r="J191" s="104">
        <v>2410.9713705815707</v>
      </c>
      <c r="K191" s="104">
        <v>2581.4099592226789</v>
      </c>
      <c r="L191" s="104">
        <v>2762.3982345223158</v>
      </c>
      <c r="M191" s="104">
        <v>2941.0436127421654</v>
      </c>
      <c r="N191" s="104">
        <v>2891.6474103317382</v>
      </c>
      <c r="O191" s="104">
        <v>2915.4135447388576</v>
      </c>
      <c r="P191" s="104">
        <v>3103.1419353617443</v>
      </c>
      <c r="Q191" s="104">
        <v>3163.1230593328842</v>
      </c>
      <c r="R191" s="186" t="s">
        <v>134</v>
      </c>
      <c r="S191" s="138"/>
    </row>
    <row r="192" spans="2:19" ht="25.15" customHeight="1">
      <c r="B192" s="537" t="s">
        <v>0</v>
      </c>
      <c r="C192" s="537"/>
      <c r="D192" s="221">
        <v>81607.319938174216</v>
      </c>
      <c r="E192" s="221">
        <v>87875.818970994442</v>
      </c>
      <c r="F192" s="221">
        <v>95087.225940307675</v>
      </c>
      <c r="G192" s="221">
        <v>107289.52922031279</v>
      </c>
      <c r="H192" s="221">
        <v>114409.25665097366</v>
      </c>
      <c r="I192" s="221">
        <v>120383.18334606304</v>
      </c>
      <c r="J192" s="221">
        <v>128595.3965272752</v>
      </c>
      <c r="K192" s="221">
        <v>135184.67726322738</v>
      </c>
      <c r="L192" s="221">
        <v>140823.54800502889</v>
      </c>
      <c r="M192" s="221">
        <v>144003.1190207731</v>
      </c>
      <c r="N192" s="221">
        <v>138592.62994106064</v>
      </c>
      <c r="O192" s="221">
        <v>146034.25796948376</v>
      </c>
      <c r="P192" s="221">
        <v>161696.93491352419</v>
      </c>
      <c r="Q192" s="221">
        <v>169968.57341461687</v>
      </c>
      <c r="R192" s="24" t="s">
        <v>19</v>
      </c>
      <c r="S192" s="138"/>
    </row>
    <row r="193" spans="2:19" ht="25.15" customHeight="1" thickBot="1">
      <c r="B193" s="540" t="s">
        <v>62</v>
      </c>
      <c r="C193" s="540"/>
      <c r="D193" s="159">
        <v>79024.429641129318</v>
      </c>
      <c r="E193" s="159">
        <v>84981.656747176195</v>
      </c>
      <c r="F193" s="159">
        <v>91599.875175956811</v>
      </c>
      <c r="G193" s="159">
        <v>103179.60392807184</v>
      </c>
      <c r="H193" s="159">
        <v>109779.83889774543</v>
      </c>
      <c r="I193" s="159">
        <v>114969.94160647223</v>
      </c>
      <c r="J193" s="159">
        <v>123571.85832259132</v>
      </c>
      <c r="K193" s="159">
        <v>129896.89173975648</v>
      </c>
      <c r="L193" s="159">
        <v>135260.71191998219</v>
      </c>
      <c r="M193" s="159">
        <v>138476.52657735095</v>
      </c>
      <c r="N193" s="159">
        <v>132805.90204077685</v>
      </c>
      <c r="O193" s="159">
        <v>139190.46995943438</v>
      </c>
      <c r="P193" s="159">
        <v>154492.64743456722</v>
      </c>
      <c r="Q193" s="159">
        <v>162772.86513201235</v>
      </c>
      <c r="R193" s="48" t="s">
        <v>63</v>
      </c>
      <c r="S193" s="138"/>
    </row>
    <row r="194" spans="2:19" ht="24.95" customHeight="1">
      <c r="B194" s="534" t="s">
        <v>326</v>
      </c>
      <c r="C194" s="534"/>
      <c r="D194" s="31"/>
      <c r="E194" s="31"/>
      <c r="F194" s="31"/>
      <c r="G194" s="31"/>
      <c r="H194" s="31"/>
      <c r="I194" s="31"/>
      <c r="J194" s="31"/>
      <c r="K194" s="31"/>
      <c r="L194" s="31"/>
      <c r="M194" s="31"/>
      <c r="N194" s="31"/>
      <c r="O194" s="31"/>
      <c r="P194" s="31"/>
      <c r="Q194" s="31"/>
      <c r="R194" s="313" t="s">
        <v>327</v>
      </c>
    </row>
    <row r="195" spans="2:19" ht="24.95" customHeight="1">
      <c r="B195" s="535" t="s">
        <v>399</v>
      </c>
      <c r="C195" s="535"/>
      <c r="D195" s="11"/>
      <c r="E195" s="11"/>
      <c r="F195" s="11"/>
      <c r="G195" s="11"/>
      <c r="H195" s="11"/>
      <c r="I195" s="11"/>
      <c r="J195" s="11"/>
      <c r="K195" s="11"/>
      <c r="L195" s="11"/>
      <c r="M195" s="11"/>
      <c r="N195" s="11"/>
      <c r="O195" s="11"/>
      <c r="P195" s="11"/>
      <c r="Q195" s="11"/>
      <c r="R195" s="313" t="s">
        <v>193</v>
      </c>
    </row>
    <row r="196" spans="2:19" ht="24.95" customHeight="1">
      <c r="B196" s="81" t="s">
        <v>192</v>
      </c>
      <c r="C196" s="81"/>
      <c r="D196" s="78"/>
      <c r="E196" s="78"/>
      <c r="F196" s="78"/>
      <c r="G196" s="78"/>
      <c r="H196" s="78"/>
      <c r="I196" s="78"/>
      <c r="J196" s="78"/>
      <c r="K196" s="78"/>
      <c r="L196" s="78"/>
      <c r="M196" s="78"/>
      <c r="N196" s="78"/>
      <c r="O196" s="78"/>
      <c r="P196" s="78"/>
      <c r="Q196" s="78"/>
      <c r="R196" s="81" t="s">
        <v>551</v>
      </c>
    </row>
    <row r="197" spans="2:19" ht="24.95" customHeight="1">
      <c r="C197" s="38"/>
      <c r="D197" s="41"/>
      <c r="E197" s="41"/>
      <c r="F197" s="41"/>
      <c r="G197" s="41"/>
      <c r="H197" s="41"/>
      <c r="I197" s="41"/>
      <c r="J197" s="41"/>
      <c r="K197" s="41"/>
      <c r="L197" s="41"/>
      <c r="M197" s="41"/>
      <c r="N197" s="41"/>
      <c r="O197" s="41"/>
      <c r="P197" s="41"/>
      <c r="Q197" s="41"/>
      <c r="R197" s="61"/>
    </row>
    <row r="198" spans="2:19" ht="25.15" customHeight="1">
      <c r="B198" s="507" t="s">
        <v>421</v>
      </c>
      <c r="C198" s="507"/>
      <c r="D198" s="507"/>
      <c r="E198" s="507"/>
      <c r="F198" s="507"/>
      <c r="G198" s="507"/>
      <c r="H198" s="507"/>
      <c r="I198" s="507"/>
      <c r="J198" s="507"/>
      <c r="K198" s="507"/>
      <c r="L198" s="507"/>
      <c r="M198" s="507"/>
      <c r="N198" s="507"/>
      <c r="O198" s="507"/>
      <c r="P198" s="507"/>
      <c r="Q198" s="507"/>
      <c r="R198" s="507"/>
    </row>
    <row r="199" spans="2:19" ht="25.15" customHeight="1">
      <c r="B199" s="529" t="s">
        <v>422</v>
      </c>
      <c r="C199" s="529"/>
      <c r="D199" s="529"/>
      <c r="E199" s="529"/>
      <c r="F199" s="529"/>
      <c r="G199" s="529"/>
      <c r="H199" s="529"/>
      <c r="I199" s="529"/>
      <c r="J199" s="529"/>
      <c r="K199" s="529"/>
      <c r="L199" s="529"/>
      <c r="M199" s="529"/>
      <c r="N199" s="529"/>
      <c r="O199" s="529"/>
      <c r="P199" s="529"/>
      <c r="Q199" s="529"/>
      <c r="R199" s="529"/>
    </row>
    <row r="200" spans="2:19" ht="25.15" customHeight="1">
      <c r="B200" s="179"/>
      <c r="C200" s="179"/>
      <c r="D200" s="179"/>
      <c r="E200" s="179"/>
      <c r="F200" s="179"/>
      <c r="G200" s="179"/>
      <c r="H200" s="179"/>
      <c r="I200" s="179"/>
      <c r="J200" s="179"/>
      <c r="K200" s="179"/>
      <c r="L200" s="179"/>
      <c r="M200" s="179"/>
      <c r="N200" s="179"/>
      <c r="O200" s="179"/>
      <c r="P200" s="179"/>
      <c r="Q200" s="179"/>
      <c r="R200" s="211" t="s">
        <v>423</v>
      </c>
    </row>
    <row r="201" spans="2:19" ht="25.15" customHeight="1">
      <c r="B201" s="3" t="s">
        <v>67</v>
      </c>
      <c r="C201" s="88" t="s">
        <v>117</v>
      </c>
      <c r="D201" s="106">
        <v>2010</v>
      </c>
      <c r="E201" s="50">
        <v>2011</v>
      </c>
      <c r="F201" s="50">
        <v>2012</v>
      </c>
      <c r="G201" s="50">
        <v>2013</v>
      </c>
      <c r="H201" s="50">
        <v>2014</v>
      </c>
      <c r="I201" s="50">
        <v>2015</v>
      </c>
      <c r="J201" s="50">
        <v>2016</v>
      </c>
      <c r="K201" s="50">
        <v>2017</v>
      </c>
      <c r="L201" s="3">
        <v>2018</v>
      </c>
      <c r="M201" s="50">
        <v>2019</v>
      </c>
      <c r="N201" s="49">
        <v>2020</v>
      </c>
      <c r="O201" s="49">
        <v>2021</v>
      </c>
      <c r="P201" s="49" t="s">
        <v>185</v>
      </c>
      <c r="Q201" s="49" t="s">
        <v>186</v>
      </c>
      <c r="R201" s="3" t="s">
        <v>118</v>
      </c>
    </row>
    <row r="202" spans="2:19" ht="25.15" customHeight="1">
      <c r="B202" s="68"/>
      <c r="C202" s="36" t="s">
        <v>102</v>
      </c>
      <c r="D202" s="104">
        <v>75052.751808614907</v>
      </c>
      <c r="E202" s="104">
        <v>77359.292270460035</v>
      </c>
      <c r="F202" s="104">
        <v>80415.244394189154</v>
      </c>
      <c r="G202" s="104">
        <v>75224.026317917727</v>
      </c>
      <c r="H202" s="104">
        <v>80960.400322094923</v>
      </c>
      <c r="I202" s="104">
        <v>71907.928387678345</v>
      </c>
      <c r="J202" s="104">
        <v>66110.634459300549</v>
      </c>
      <c r="K202" s="104">
        <v>71754.207318113709</v>
      </c>
      <c r="L202" s="104">
        <v>79980.013083343991</v>
      </c>
      <c r="M202" s="104">
        <v>86671.348496995939</v>
      </c>
      <c r="N202" s="104">
        <v>69459.263106600163</v>
      </c>
      <c r="O202" s="104">
        <v>91853.974926193521</v>
      </c>
      <c r="P202" s="104">
        <v>118660.97844857602</v>
      </c>
      <c r="Q202" s="104">
        <v>125515.07742399389</v>
      </c>
      <c r="R202" s="186" t="s">
        <v>44</v>
      </c>
      <c r="S202" s="138"/>
    </row>
    <row r="203" spans="2:19" ht="25.15" customHeight="1">
      <c r="B203" s="121" t="s">
        <v>68</v>
      </c>
      <c r="C203" s="184" t="s">
        <v>45</v>
      </c>
      <c r="D203" s="304">
        <v>265.79691548954844</v>
      </c>
      <c r="E203" s="304">
        <v>284.5825894311505</v>
      </c>
      <c r="F203" s="304">
        <v>285.65895377946526</v>
      </c>
      <c r="G203" s="304">
        <v>405.92227477975297</v>
      </c>
      <c r="H203" s="304">
        <v>423.99518874229761</v>
      </c>
      <c r="I203" s="304">
        <v>335.76686459488604</v>
      </c>
      <c r="J203" s="304">
        <v>327.81173037633067</v>
      </c>
      <c r="K203" s="304">
        <v>441.6550752107209</v>
      </c>
      <c r="L203" s="304">
        <v>465.43963319031377</v>
      </c>
      <c r="M203" s="304">
        <v>540.68760575286262</v>
      </c>
      <c r="N203" s="304">
        <v>528.54050885996867</v>
      </c>
      <c r="O203" s="304">
        <v>794.52055008790319</v>
      </c>
      <c r="P203" s="304">
        <v>840.09775377838639</v>
      </c>
      <c r="Q203" s="304">
        <v>852.40624932873925</v>
      </c>
      <c r="R203" s="37" t="s">
        <v>123</v>
      </c>
      <c r="S203" s="138"/>
    </row>
    <row r="204" spans="2:19" ht="25.15" customHeight="1">
      <c r="B204" s="121" t="s">
        <v>69</v>
      </c>
      <c r="C204" s="184" t="s">
        <v>46</v>
      </c>
      <c r="D204" s="304">
        <v>10096.657926937984</v>
      </c>
      <c r="E204" s="304">
        <v>7652.6417716040751</v>
      </c>
      <c r="F204" s="304">
        <v>10530.410255471756</v>
      </c>
      <c r="G204" s="304">
        <v>8644.861669562717</v>
      </c>
      <c r="H204" s="304">
        <v>9096.1239155210405</v>
      </c>
      <c r="I204" s="304">
        <v>13124.32027466593</v>
      </c>
      <c r="J204" s="304">
        <v>17689.592672548788</v>
      </c>
      <c r="K204" s="304">
        <v>10480.568109456482</v>
      </c>
      <c r="L204" s="304">
        <v>13898.694413656523</v>
      </c>
      <c r="M204" s="304">
        <v>15432.916273524639</v>
      </c>
      <c r="N204" s="304">
        <v>14292.138548282519</v>
      </c>
      <c r="O204" s="304">
        <v>18923.002292309586</v>
      </c>
      <c r="P204" s="304">
        <v>21823.775963726908</v>
      </c>
      <c r="Q204" s="304">
        <v>21975.003151906574</v>
      </c>
      <c r="R204" s="37" t="s">
        <v>124</v>
      </c>
      <c r="S204" s="138"/>
    </row>
    <row r="205" spans="2:19" ht="25.15" customHeight="1">
      <c r="B205" s="121" t="s">
        <v>70</v>
      </c>
      <c r="C205" s="184" t="s">
        <v>13</v>
      </c>
      <c r="D205" s="304">
        <v>14972.93486199262</v>
      </c>
      <c r="E205" s="304">
        <v>15243.04101591248</v>
      </c>
      <c r="F205" s="304">
        <v>17757.316184046831</v>
      </c>
      <c r="G205" s="304">
        <v>11778.469386274863</v>
      </c>
      <c r="H205" s="304">
        <v>10363.215515848182</v>
      </c>
      <c r="I205" s="304">
        <v>8041.0089131067953</v>
      </c>
      <c r="J205" s="304">
        <v>7595.456747651293</v>
      </c>
      <c r="K205" s="304">
        <v>9038.9129317202787</v>
      </c>
      <c r="L205" s="304">
        <v>10968.289102706773</v>
      </c>
      <c r="M205" s="304">
        <v>11354.040544159199</v>
      </c>
      <c r="N205" s="304">
        <v>7532.1343810547005</v>
      </c>
      <c r="O205" s="304">
        <v>10652.487802352767</v>
      </c>
      <c r="P205" s="304">
        <v>15510.711436263407</v>
      </c>
      <c r="Q205" s="304">
        <v>16189.012658448499</v>
      </c>
      <c r="R205" s="37" t="s">
        <v>47</v>
      </c>
      <c r="S205" s="138"/>
    </row>
    <row r="206" spans="2:19" ht="25.15" customHeight="1">
      <c r="B206" s="121" t="s">
        <v>71</v>
      </c>
      <c r="C206" s="184" t="s">
        <v>48</v>
      </c>
      <c r="D206" s="304">
        <v>7758.624240692815</v>
      </c>
      <c r="E206" s="304">
        <v>7445.7485685236625</v>
      </c>
      <c r="F206" s="304">
        <v>4864.6558127924391</v>
      </c>
      <c r="G206" s="304">
        <v>6165.950459425746</v>
      </c>
      <c r="H206" s="304">
        <v>6632.65608912891</v>
      </c>
      <c r="I206" s="304">
        <v>4873.5804292067551</v>
      </c>
      <c r="J206" s="304">
        <v>3229.7827521861313</v>
      </c>
      <c r="K206" s="304">
        <v>5517.185880343869</v>
      </c>
      <c r="L206" s="304">
        <v>6160.3315780249841</v>
      </c>
      <c r="M206" s="304">
        <v>5717.4535852652198</v>
      </c>
      <c r="N206" s="304">
        <v>5920.4978957023332</v>
      </c>
      <c r="O206" s="304">
        <v>5583.1558258314762</v>
      </c>
      <c r="P206" s="304">
        <v>8042.0108439244395</v>
      </c>
      <c r="Q206" s="304">
        <v>8620.1382901785055</v>
      </c>
      <c r="R206" s="37" t="s">
        <v>125</v>
      </c>
      <c r="S206" s="138"/>
    </row>
    <row r="207" spans="2:19" ht="25.15" customHeight="1">
      <c r="B207" s="121" t="s">
        <v>72</v>
      </c>
      <c r="C207" s="184" t="s">
        <v>14</v>
      </c>
      <c r="D207" s="304">
        <v>5245.8688125608433</v>
      </c>
      <c r="E207" s="304">
        <v>4355.8341369676846</v>
      </c>
      <c r="F207" s="304">
        <v>4172.1377712997055</v>
      </c>
      <c r="G207" s="304">
        <v>3369.7974321078018</v>
      </c>
      <c r="H207" s="304">
        <v>3509.7572858564122</v>
      </c>
      <c r="I207" s="304">
        <v>2797.8725545712264</v>
      </c>
      <c r="J207" s="304">
        <v>2124.1535161711399</v>
      </c>
      <c r="K207" s="304">
        <v>2773.7103322126186</v>
      </c>
      <c r="L207" s="304">
        <v>3148.5685541880271</v>
      </c>
      <c r="M207" s="304">
        <v>3736.8840248834445</v>
      </c>
      <c r="N207" s="304">
        <v>2666.1966541477436</v>
      </c>
      <c r="O207" s="304">
        <v>3184.1911013616691</v>
      </c>
      <c r="P207" s="304">
        <v>4265.6203576638309</v>
      </c>
      <c r="Q207" s="304">
        <v>4424.8988072942848</v>
      </c>
      <c r="R207" s="37" t="s">
        <v>49</v>
      </c>
      <c r="S207" s="138"/>
    </row>
    <row r="208" spans="2:19" ht="25.15" customHeight="1">
      <c r="B208" s="121" t="s">
        <v>73</v>
      </c>
      <c r="C208" s="184" t="s">
        <v>50</v>
      </c>
      <c r="D208" s="304">
        <v>4699.0426380312547</v>
      </c>
      <c r="E208" s="304">
        <v>5386.3190969669076</v>
      </c>
      <c r="F208" s="304">
        <v>5643.2583374817086</v>
      </c>
      <c r="G208" s="304">
        <v>7512.1116937606685</v>
      </c>
      <c r="H208" s="304">
        <v>7557.009087381979</v>
      </c>
      <c r="I208" s="304">
        <v>6838.5779922089778</v>
      </c>
      <c r="J208" s="304">
        <v>5262.5285993590178</v>
      </c>
      <c r="K208" s="304">
        <v>6116.9217856795804</v>
      </c>
      <c r="L208" s="304">
        <v>7486.6802491065046</v>
      </c>
      <c r="M208" s="304">
        <v>6903.9477161930281</v>
      </c>
      <c r="N208" s="304">
        <v>5910.2465797616978</v>
      </c>
      <c r="O208" s="304">
        <v>8765.5950895919505</v>
      </c>
      <c r="P208" s="304">
        <v>15038.533659804254</v>
      </c>
      <c r="Q208" s="304">
        <v>15569.838409488619</v>
      </c>
      <c r="R208" s="37" t="s">
        <v>126</v>
      </c>
      <c r="S208" s="138"/>
    </row>
    <row r="209" spans="2:19" ht="25.15" customHeight="1">
      <c r="B209" s="121" t="s">
        <v>74</v>
      </c>
      <c r="C209" s="184" t="s">
        <v>51</v>
      </c>
      <c r="D209" s="304">
        <v>10320.659300002731</v>
      </c>
      <c r="E209" s="304">
        <v>11836.942641835363</v>
      </c>
      <c r="F209" s="304">
        <v>11898.71521014204</v>
      </c>
      <c r="G209" s="304">
        <v>13200.38892912866</v>
      </c>
      <c r="H209" s="304">
        <v>16752.017027017431</v>
      </c>
      <c r="I209" s="304">
        <v>11724.259050263194</v>
      </c>
      <c r="J209" s="304">
        <v>7527.8454109716304</v>
      </c>
      <c r="K209" s="304">
        <v>9839.0226048198565</v>
      </c>
      <c r="L209" s="304">
        <v>9422.4466053302367</v>
      </c>
      <c r="M209" s="304">
        <v>12652.396759272568</v>
      </c>
      <c r="N209" s="304">
        <v>6958.6073776985368</v>
      </c>
      <c r="O209" s="304">
        <v>7812.2719537923967</v>
      </c>
      <c r="P209" s="304">
        <v>13413.620058199678</v>
      </c>
      <c r="Q209" s="304">
        <v>14937.068842801225</v>
      </c>
      <c r="R209" s="37" t="s">
        <v>127</v>
      </c>
      <c r="S209" s="138"/>
    </row>
    <row r="210" spans="2:19" ht="25.15" customHeight="1">
      <c r="B210" s="121" t="s">
        <v>75</v>
      </c>
      <c r="C210" s="184" t="s">
        <v>52</v>
      </c>
      <c r="D210" s="304">
        <v>1500.6967132972627</v>
      </c>
      <c r="E210" s="304">
        <v>1943.9132931702679</v>
      </c>
      <c r="F210" s="304">
        <v>2431.0954822270314</v>
      </c>
      <c r="G210" s="304">
        <v>2193.2009922000166</v>
      </c>
      <c r="H210" s="304">
        <v>2320.6704239953037</v>
      </c>
      <c r="I210" s="304">
        <v>1845.1460936065989</v>
      </c>
      <c r="J210" s="304">
        <v>2174.5878982160598</v>
      </c>
      <c r="K210" s="304">
        <v>1839.3685978198002</v>
      </c>
      <c r="L210" s="304">
        <v>2188.2493126396562</v>
      </c>
      <c r="M210" s="304">
        <v>2124.5722781087402</v>
      </c>
      <c r="N210" s="304">
        <v>1417.3471197623364</v>
      </c>
      <c r="O210" s="304">
        <v>1969.8157737255199</v>
      </c>
      <c r="P210" s="304">
        <v>4858.605768099831</v>
      </c>
      <c r="Q210" s="304">
        <v>5211.6919677593851</v>
      </c>
      <c r="R210" s="37" t="s">
        <v>128</v>
      </c>
      <c r="S210" s="138"/>
    </row>
    <row r="211" spans="2:19" ht="25.15" customHeight="1">
      <c r="B211" s="121" t="s">
        <v>76</v>
      </c>
      <c r="C211" s="184" t="s">
        <v>53</v>
      </c>
      <c r="D211" s="304">
        <v>2327.9340707624015</v>
      </c>
      <c r="E211" s="304">
        <v>3389.8617251999199</v>
      </c>
      <c r="F211" s="304">
        <v>3188.0964772448324</v>
      </c>
      <c r="G211" s="304">
        <v>2203.0074573243637</v>
      </c>
      <c r="H211" s="304">
        <v>2143.6159539235232</v>
      </c>
      <c r="I211" s="304">
        <v>2356.3509723840584</v>
      </c>
      <c r="J211" s="304">
        <v>1703.9681761574989</v>
      </c>
      <c r="K211" s="304">
        <v>2246.5790006814827</v>
      </c>
      <c r="L211" s="304">
        <v>2576.3865794861322</v>
      </c>
      <c r="M211" s="304">
        <v>2860.4258413143298</v>
      </c>
      <c r="N211" s="304">
        <v>2566.3365054647234</v>
      </c>
      <c r="O211" s="304">
        <v>3799.7261303745508</v>
      </c>
      <c r="P211" s="304">
        <v>2623.8986706877404</v>
      </c>
      <c r="Q211" s="304">
        <v>2795.1707044955747</v>
      </c>
      <c r="R211" s="37" t="s">
        <v>129</v>
      </c>
      <c r="S211" s="138"/>
    </row>
    <row r="212" spans="2:19" ht="25.15" customHeight="1">
      <c r="B212" s="121" t="s">
        <v>77</v>
      </c>
      <c r="C212" s="185" t="s">
        <v>54</v>
      </c>
      <c r="D212" s="104">
        <v>2690.8850745915097</v>
      </c>
      <c r="E212" s="104">
        <v>1854.2173048310251</v>
      </c>
      <c r="F212" s="104">
        <v>2139.1285229282757</v>
      </c>
      <c r="G212" s="104">
        <v>1184.0973424582915</v>
      </c>
      <c r="H212" s="104">
        <v>1260.8844742491856</v>
      </c>
      <c r="I212" s="104">
        <v>1271.8250265340791</v>
      </c>
      <c r="J212" s="104">
        <v>1282.33589651851</v>
      </c>
      <c r="K212" s="104">
        <v>1274.726066992728</v>
      </c>
      <c r="L212" s="104">
        <v>1197.4788482269387</v>
      </c>
      <c r="M212" s="104">
        <v>1471.4247251181412</v>
      </c>
      <c r="N212" s="104">
        <v>1973.8403024713971</v>
      </c>
      <c r="O212" s="104">
        <v>2206.3635648081954</v>
      </c>
      <c r="P212" s="104">
        <v>4018.1979621869818</v>
      </c>
      <c r="Q212" s="104">
        <v>4272.7972688638338</v>
      </c>
      <c r="R212" s="186" t="s">
        <v>55</v>
      </c>
      <c r="S212" s="138"/>
    </row>
    <row r="213" spans="2:19" ht="25.15" customHeight="1">
      <c r="B213" s="121" t="s">
        <v>78</v>
      </c>
      <c r="C213" s="184" t="s">
        <v>56</v>
      </c>
      <c r="D213" s="304">
        <v>11608.443656783744</v>
      </c>
      <c r="E213" s="304">
        <v>11922.543785961027</v>
      </c>
      <c r="F213" s="304">
        <v>13260.111245606297</v>
      </c>
      <c r="G213" s="304">
        <v>12260.538226267772</v>
      </c>
      <c r="H213" s="304">
        <v>14385.74211736022</v>
      </c>
      <c r="I213" s="304">
        <v>13515.008905892948</v>
      </c>
      <c r="J213" s="304">
        <v>12732.088364269544</v>
      </c>
      <c r="K213" s="304">
        <v>16659.906370196582</v>
      </c>
      <c r="L213" s="304">
        <v>16211.819625563174</v>
      </c>
      <c r="M213" s="304">
        <v>17475.432952286097</v>
      </c>
      <c r="N213" s="304">
        <v>15384.368829146801</v>
      </c>
      <c r="O213" s="304">
        <v>20727.382369671985</v>
      </c>
      <c r="P213" s="304">
        <v>21804.096177683106</v>
      </c>
      <c r="Q213" s="304">
        <v>24042.422126578804</v>
      </c>
      <c r="R213" s="37" t="s">
        <v>130</v>
      </c>
      <c r="S213" s="138"/>
    </row>
    <row r="214" spans="2:19" ht="25.15" customHeight="1">
      <c r="B214" s="121" t="s">
        <v>205</v>
      </c>
      <c r="C214" s="184" t="s">
        <v>188</v>
      </c>
      <c r="D214" s="304">
        <v>2766.5485451089949</v>
      </c>
      <c r="E214" s="304">
        <v>2258.4211379173034</v>
      </c>
      <c r="F214" s="304">
        <v>2738.0764938316283</v>
      </c>
      <c r="G214" s="304">
        <v>2933.3416465427722</v>
      </c>
      <c r="H214" s="304">
        <v>3153.3993095838832</v>
      </c>
      <c r="I214" s="304">
        <v>2857.4784209449658</v>
      </c>
      <c r="J214" s="304">
        <v>2748.9700377070385</v>
      </c>
      <c r="K214" s="304">
        <v>2970.9407508180743</v>
      </c>
      <c r="L214" s="304">
        <v>3373.888734716717</v>
      </c>
      <c r="M214" s="304">
        <v>3697.2836749720159</v>
      </c>
      <c r="N214" s="304">
        <v>3151.2326854336648</v>
      </c>
      <c r="O214" s="304">
        <v>4939.8536326396343</v>
      </c>
      <c r="P214" s="304">
        <v>4359.5922898536046</v>
      </c>
      <c r="Q214" s="304">
        <v>4471.6675661835588</v>
      </c>
      <c r="R214" s="37" t="s">
        <v>206</v>
      </c>
      <c r="S214" s="138"/>
    </row>
    <row r="215" spans="2:19" ht="25.15" customHeight="1">
      <c r="B215" s="121" t="s">
        <v>79</v>
      </c>
      <c r="C215" s="185" t="s">
        <v>57</v>
      </c>
      <c r="D215" s="104">
        <v>11251.518458029621</v>
      </c>
      <c r="E215" s="104">
        <v>12172.598742162376</v>
      </c>
      <c r="F215" s="104">
        <v>9443.5258715875516</v>
      </c>
      <c r="G215" s="104">
        <v>10191.171337959864</v>
      </c>
      <c r="H215" s="104">
        <v>11783.903067629664</v>
      </c>
      <c r="I215" s="104">
        <v>9491.5303977816166</v>
      </c>
      <c r="J215" s="104">
        <v>12497.703553842704</v>
      </c>
      <c r="K215" s="104">
        <v>10078.756678318179</v>
      </c>
      <c r="L215" s="104">
        <v>12050.066467663955</v>
      </c>
      <c r="M215" s="104">
        <v>12464.335090713774</v>
      </c>
      <c r="N215" s="104">
        <v>10094.977687397388</v>
      </c>
      <c r="O215" s="104">
        <v>13167.970093237429</v>
      </c>
      <c r="P215" s="104">
        <v>10584.805990469707</v>
      </c>
      <c r="Q215" s="104">
        <v>9431.7382237576003</v>
      </c>
      <c r="R215" s="186" t="s">
        <v>131</v>
      </c>
      <c r="S215" s="138"/>
    </row>
    <row r="216" spans="2:19" ht="25.15" customHeight="1">
      <c r="B216" s="121" t="s">
        <v>80</v>
      </c>
      <c r="C216" s="184" t="s">
        <v>58</v>
      </c>
      <c r="D216" s="304">
        <v>1379.543454654086</v>
      </c>
      <c r="E216" s="304">
        <v>3141.6184464817943</v>
      </c>
      <c r="F216" s="304">
        <v>1059.2030621409913</v>
      </c>
      <c r="G216" s="304">
        <v>1377.1308928497015</v>
      </c>
      <c r="H216" s="304">
        <v>1233.2543504793223</v>
      </c>
      <c r="I216" s="304">
        <v>1220.7908792240087</v>
      </c>
      <c r="J216" s="304">
        <v>974.13680036423523</v>
      </c>
      <c r="K216" s="304">
        <v>1480.9355963405819</v>
      </c>
      <c r="L216" s="304">
        <v>1565.5543923064706</v>
      </c>
      <c r="M216" s="304">
        <v>1859.2052579380775</v>
      </c>
      <c r="N216" s="304">
        <v>1359.2215663132099</v>
      </c>
      <c r="O216" s="304">
        <v>2004.0896650465968</v>
      </c>
      <c r="P216" s="304">
        <v>1529.0752127965964</v>
      </c>
      <c r="Q216" s="304">
        <v>1598.6509263909979</v>
      </c>
      <c r="R216" s="37" t="s">
        <v>59</v>
      </c>
      <c r="S216" s="138"/>
    </row>
    <row r="217" spans="2:19" ht="25.15" customHeight="1">
      <c r="B217" s="121" t="s">
        <v>81</v>
      </c>
      <c r="C217" s="184" t="s">
        <v>60</v>
      </c>
      <c r="D217" s="304">
        <v>1372.4763576797761</v>
      </c>
      <c r="E217" s="304">
        <v>1740.1648174997626</v>
      </c>
      <c r="F217" s="304">
        <v>1846.2443361236096</v>
      </c>
      <c r="G217" s="304">
        <v>2228.8563128787869</v>
      </c>
      <c r="H217" s="304">
        <v>2398.4782673301488</v>
      </c>
      <c r="I217" s="304">
        <v>1486.9030368837402</v>
      </c>
      <c r="J217" s="304">
        <v>1072.204277358331</v>
      </c>
      <c r="K217" s="304">
        <v>1206.9111881203112</v>
      </c>
      <c r="L217" s="304">
        <v>1281.6705501730353</v>
      </c>
      <c r="M217" s="304">
        <v>1224.2932813191956</v>
      </c>
      <c r="N217" s="304">
        <v>836.49720144071694</v>
      </c>
      <c r="O217" s="304">
        <v>1385.6500489880846</v>
      </c>
      <c r="P217" s="304">
        <v>2255.6284608427845</v>
      </c>
      <c r="Q217" s="304">
        <v>2415.7657440505614</v>
      </c>
      <c r="R217" s="37" t="s">
        <v>132</v>
      </c>
      <c r="S217" s="138"/>
    </row>
    <row r="218" spans="2:19" ht="25.15" customHeight="1">
      <c r="B218" s="121" t="s">
        <v>82</v>
      </c>
      <c r="C218" s="184" t="s">
        <v>61</v>
      </c>
      <c r="D218" s="304">
        <v>737.52431462083894</v>
      </c>
      <c r="E218" s="304">
        <v>757.65924298863501</v>
      </c>
      <c r="F218" s="304">
        <v>740.26477200082684</v>
      </c>
      <c r="G218" s="304">
        <v>950.44894481412166</v>
      </c>
      <c r="H218" s="304">
        <v>990.46578992627485</v>
      </c>
      <c r="I218" s="304">
        <v>890.86400012426793</v>
      </c>
      <c r="J218" s="304">
        <v>947.50747596350311</v>
      </c>
      <c r="K218" s="304">
        <v>1141.5890946934749</v>
      </c>
      <c r="L218" s="304">
        <v>1231.9937522554571</v>
      </c>
      <c r="M218" s="304">
        <v>1091.8087020065141</v>
      </c>
      <c r="N218" s="304">
        <v>935.89725353121571</v>
      </c>
      <c r="O218" s="304">
        <v>1312.2326904193962</v>
      </c>
      <c r="P218" s="304">
        <v>2295.7117952514641</v>
      </c>
      <c r="Q218" s="304">
        <v>2411.3419790885878</v>
      </c>
      <c r="R218" s="37" t="s">
        <v>133</v>
      </c>
      <c r="S218" s="138"/>
    </row>
    <row r="219" spans="2:19" ht="25.15" customHeight="1">
      <c r="B219" s="122" t="s">
        <v>83</v>
      </c>
      <c r="C219" s="188" t="s">
        <v>114</v>
      </c>
      <c r="D219" s="104">
        <v>0</v>
      </c>
      <c r="E219" s="104">
        <v>0</v>
      </c>
      <c r="F219" s="104">
        <v>0</v>
      </c>
      <c r="G219" s="104">
        <v>0</v>
      </c>
      <c r="H219" s="104">
        <v>0</v>
      </c>
      <c r="I219" s="104">
        <v>0</v>
      </c>
      <c r="J219" s="104">
        <v>0</v>
      </c>
      <c r="K219" s="104">
        <v>0</v>
      </c>
      <c r="L219" s="104">
        <v>0</v>
      </c>
      <c r="M219" s="104">
        <v>0</v>
      </c>
      <c r="N219" s="104">
        <v>0</v>
      </c>
      <c r="O219" s="104">
        <v>0</v>
      </c>
      <c r="P219" s="104">
        <v>0</v>
      </c>
      <c r="Q219" s="104">
        <v>0</v>
      </c>
      <c r="R219" s="186" t="s">
        <v>134</v>
      </c>
      <c r="S219" s="138"/>
    </row>
    <row r="220" spans="2:19" ht="25.15" customHeight="1">
      <c r="B220" s="537" t="s">
        <v>0</v>
      </c>
      <c r="C220" s="537"/>
      <c r="D220" s="221">
        <v>88995.155341236037</v>
      </c>
      <c r="E220" s="221">
        <v>91386.108317453443</v>
      </c>
      <c r="F220" s="221">
        <v>91997.898788704973</v>
      </c>
      <c r="G220" s="221">
        <v>86599.294998335885</v>
      </c>
      <c r="H220" s="221">
        <v>94005.187863973784</v>
      </c>
      <c r="I220" s="221">
        <v>82671.283811994057</v>
      </c>
      <c r="J220" s="221">
        <v>79890.673909661768</v>
      </c>
      <c r="K220" s="221">
        <v>83107.690063424612</v>
      </c>
      <c r="L220" s="221">
        <v>93227.558399234913</v>
      </c>
      <c r="M220" s="221">
        <v>100607.10831282786</v>
      </c>
      <c r="N220" s="221">
        <v>81528.081096468959</v>
      </c>
      <c r="O220" s="221">
        <v>107228.30858423914</v>
      </c>
      <c r="P220" s="221">
        <v>133263.9824012327</v>
      </c>
      <c r="Q220" s="221">
        <v>139219.61291661533</v>
      </c>
      <c r="R220" s="24" t="s">
        <v>19</v>
      </c>
      <c r="S220" s="138"/>
    </row>
    <row r="221" spans="2:19" ht="25.15" customHeight="1" thickBot="1">
      <c r="B221" s="540" t="s">
        <v>62</v>
      </c>
      <c r="C221" s="540"/>
      <c r="D221" s="159">
        <v>78898.49741429805</v>
      </c>
      <c r="E221" s="159">
        <v>83733.466545849369</v>
      </c>
      <c r="F221" s="159">
        <v>81467.488533233205</v>
      </c>
      <c r="G221" s="159">
        <v>77954.433328773157</v>
      </c>
      <c r="H221" s="159">
        <v>84909.063948452735</v>
      </c>
      <c r="I221" s="159">
        <v>69546.96353732812</v>
      </c>
      <c r="J221" s="159">
        <v>62201.081237112987</v>
      </c>
      <c r="K221" s="159">
        <v>72627.121953968133</v>
      </c>
      <c r="L221" s="159">
        <v>79328.863985578384</v>
      </c>
      <c r="M221" s="159">
        <v>85174.192039303234</v>
      </c>
      <c r="N221" s="159">
        <v>67235.942548186431</v>
      </c>
      <c r="O221" s="159">
        <v>88305.306291929563</v>
      </c>
      <c r="P221" s="159">
        <v>111440.2064375058</v>
      </c>
      <c r="Q221" s="159">
        <v>117244.60976470876</v>
      </c>
      <c r="R221" s="48" t="s">
        <v>63</v>
      </c>
      <c r="S221" s="138"/>
    </row>
    <row r="222" spans="2:19" ht="24.95" customHeight="1">
      <c r="B222" s="534" t="s">
        <v>326</v>
      </c>
      <c r="C222" s="534"/>
      <c r="D222" s="31"/>
      <c r="E222" s="31"/>
      <c r="F222" s="31"/>
      <c r="G222" s="31"/>
      <c r="H222" s="31"/>
      <c r="I222" s="31"/>
      <c r="J222" s="31"/>
      <c r="K222" s="31"/>
      <c r="L222" s="31"/>
      <c r="M222" s="31"/>
      <c r="N222" s="31"/>
      <c r="O222" s="31"/>
      <c r="P222" s="31"/>
      <c r="Q222" s="31"/>
      <c r="R222" s="313" t="s">
        <v>327</v>
      </c>
    </row>
    <row r="223" spans="2:19" ht="24.95" customHeight="1">
      <c r="B223" s="535" t="s">
        <v>399</v>
      </c>
      <c r="C223" s="535"/>
      <c r="D223" s="11"/>
      <c r="E223" s="11"/>
      <c r="F223" s="11"/>
      <c r="G223" s="11"/>
      <c r="H223" s="11"/>
      <c r="I223" s="11"/>
      <c r="J223" s="11"/>
      <c r="K223" s="11"/>
      <c r="L223" s="11"/>
      <c r="M223" s="11"/>
      <c r="N223" s="11"/>
      <c r="O223" s="11"/>
      <c r="P223" s="11"/>
      <c r="Q223" s="11"/>
      <c r="R223" s="313" t="s">
        <v>193</v>
      </c>
    </row>
    <row r="224" spans="2:19" ht="24.95" customHeight="1">
      <c r="B224" s="81" t="s">
        <v>192</v>
      </c>
      <c r="C224" s="81"/>
      <c r="D224" s="78"/>
      <c r="E224" s="78"/>
      <c r="F224" s="78"/>
      <c r="G224" s="78"/>
      <c r="H224" s="78"/>
      <c r="I224" s="78"/>
      <c r="J224" s="78"/>
      <c r="K224" s="78"/>
      <c r="L224" s="78"/>
      <c r="M224" s="78"/>
      <c r="N224" s="78"/>
      <c r="O224" s="78"/>
      <c r="P224" s="78"/>
      <c r="Q224" s="78"/>
      <c r="R224" s="81" t="s">
        <v>551</v>
      </c>
    </row>
    <row r="225" ht="24.95" customHeight="1"/>
  </sheetData>
  <mergeCells count="46">
    <mergeCell ref="B222:C222"/>
    <mergeCell ref="B223:C223"/>
    <mergeCell ref="B83:C83"/>
    <mergeCell ref="B110:C110"/>
    <mergeCell ref="B111:C111"/>
    <mergeCell ref="B138:C138"/>
    <mergeCell ref="B139:C139"/>
    <mergeCell ref="B220:C220"/>
    <mergeCell ref="B221:C221"/>
    <mergeCell ref="B192:C192"/>
    <mergeCell ref="B193:C193"/>
    <mergeCell ref="B198:R198"/>
    <mergeCell ref="B199:R199"/>
    <mergeCell ref="B194:C194"/>
    <mergeCell ref="B195:C195"/>
    <mergeCell ref="B87:R87"/>
    <mergeCell ref="B2:R2"/>
    <mergeCell ref="B3:R3"/>
    <mergeCell ref="B58:R58"/>
    <mergeCell ref="B59:R59"/>
    <mergeCell ref="B86:R86"/>
    <mergeCell ref="B81:C81"/>
    <mergeCell ref="B80:C80"/>
    <mergeCell ref="B25:C25"/>
    <mergeCell ref="B24:C24"/>
    <mergeCell ref="C30:R30"/>
    <mergeCell ref="C31:R31"/>
    <mergeCell ref="B26:C26"/>
    <mergeCell ref="B27:C27"/>
    <mergeCell ref="B54:C54"/>
    <mergeCell ref="B55:C55"/>
    <mergeCell ref="B82:C82"/>
    <mergeCell ref="B170:R170"/>
    <mergeCell ref="B171:R171"/>
    <mergeCell ref="B136:C136"/>
    <mergeCell ref="B137:C137"/>
    <mergeCell ref="B165:C165"/>
    <mergeCell ref="B166:C166"/>
    <mergeCell ref="B167:C167"/>
    <mergeCell ref="B108:C108"/>
    <mergeCell ref="B109:C109"/>
    <mergeCell ref="C142:R142"/>
    <mergeCell ref="C143:R143"/>
    <mergeCell ref="B164:C164"/>
    <mergeCell ref="B114:R114"/>
    <mergeCell ref="B115:R115"/>
  </mergeCells>
  <phoneticPr fontId="5" type="noConversion"/>
  <conditionalFormatting sqref="B35:C50">
    <cfRule type="containsText" dxfId="19" priority="6" operator="containsText" text="false">
      <formula>NOT(ISERROR(SEARCH("false",B35)))</formula>
    </cfRule>
  </conditionalFormatting>
  <conditionalFormatting sqref="B63:C79">
    <cfRule type="containsText" dxfId="18" priority="11" operator="containsText" text="false">
      <formula>NOT(ISERROR(SEARCH("false",B63)))</formula>
    </cfRule>
  </conditionalFormatting>
  <conditionalFormatting sqref="B91:C107">
    <cfRule type="containsText" dxfId="17" priority="10" operator="containsText" text="false">
      <formula>NOT(ISERROR(SEARCH("false",B91)))</formula>
    </cfRule>
  </conditionalFormatting>
  <conditionalFormatting sqref="B119:C135">
    <cfRule type="containsText" dxfId="16" priority="9" operator="containsText" text="false">
      <formula>NOT(ISERROR(SEARCH("false",B119)))</formula>
    </cfRule>
  </conditionalFormatting>
  <conditionalFormatting sqref="B147:C162">
    <cfRule type="containsText" dxfId="15" priority="4" operator="containsText" text="false">
      <formula>NOT(ISERROR(SEARCH("false",B147)))</formula>
    </cfRule>
  </conditionalFormatting>
  <conditionalFormatting sqref="B175:C191">
    <cfRule type="containsText" dxfId="14" priority="8" operator="containsText" text="false">
      <formula>NOT(ISERROR(SEARCH("false",B175)))</formula>
    </cfRule>
  </conditionalFormatting>
  <conditionalFormatting sqref="B203:C219">
    <cfRule type="containsText" dxfId="13" priority="7" operator="containsText" text="false">
      <formula>NOT(ISERROR(SEARCH("false",B203)))</formula>
    </cfRule>
  </conditionalFormatting>
  <conditionalFormatting sqref="B7:P23">
    <cfRule type="containsText" dxfId="12" priority="18" operator="containsText" text="false">
      <formula>NOT(ISERROR(SEARCH("false",B7)))</formula>
    </cfRule>
  </conditionalFormatting>
  <conditionalFormatting sqref="D35:P51">
    <cfRule type="containsText" dxfId="11" priority="2" operator="containsText" text="false">
      <formula>NOT(ISERROR(SEARCH("false",D35)))</formula>
    </cfRule>
  </conditionalFormatting>
  <conditionalFormatting sqref="R6:R23">
    <cfRule type="containsText" dxfId="10" priority="17" operator="containsText" text="false">
      <formula>NOT(ISERROR(SEARCH("false",R6)))</formula>
    </cfRule>
  </conditionalFormatting>
  <conditionalFormatting sqref="R35:R50">
    <cfRule type="containsText" dxfId="9" priority="5" operator="containsText" text="false">
      <formula>NOT(ISERROR(SEARCH("false",R35)))</formula>
    </cfRule>
  </conditionalFormatting>
  <conditionalFormatting sqref="R62:R79">
    <cfRule type="containsText" dxfId="8" priority="16" operator="containsText" text="false">
      <formula>NOT(ISERROR(SEARCH("false",R62)))</formula>
    </cfRule>
  </conditionalFormatting>
  <conditionalFormatting sqref="R90:R107">
    <cfRule type="containsText" dxfId="7" priority="15" operator="containsText" text="false">
      <formula>NOT(ISERROR(SEARCH("false",R90)))</formula>
    </cfRule>
  </conditionalFormatting>
  <conditionalFormatting sqref="R118:R135">
    <cfRule type="containsText" dxfId="6" priority="14" operator="containsText" text="false">
      <formula>NOT(ISERROR(SEARCH("false",R118)))</formula>
    </cfRule>
  </conditionalFormatting>
  <conditionalFormatting sqref="R147:R162">
    <cfRule type="containsText" dxfId="5" priority="3" operator="containsText" text="false">
      <formula>NOT(ISERROR(SEARCH("false",R147)))</formula>
    </cfRule>
  </conditionalFormatting>
  <conditionalFormatting sqref="R174:R191">
    <cfRule type="containsText" dxfId="4" priority="13" operator="containsText" text="false">
      <formula>NOT(ISERROR(SEARCH("false",R174)))</formula>
    </cfRule>
  </conditionalFormatting>
  <conditionalFormatting sqref="R202:R219">
    <cfRule type="containsText" dxfId="3" priority="12" operator="containsText" text="false">
      <formula>NOT(ISERROR(SEARCH("false",R202)))</formula>
    </cfRule>
  </conditionalFormatting>
  <conditionalFormatting sqref="A1:XFD1048576">
    <cfRule type="containsText" dxfId="2" priority="1" operator="containsText" text="true">
      <formula>NOT(ISERROR(SEARCH("true",A1)))</formula>
    </cfRule>
  </conditionalFormatting>
  <printOptions horizontalCentered="1" verticalCentered="1"/>
  <pageMargins left="0" right="0" top="0" bottom="0" header="0" footer="0"/>
  <pageSetup scale="35" orientation="landscape" horizontalDpi="300" verticalDpi="300" r:id="rId1"/>
  <headerFooter alignWithMargins="0">
    <oddFooter>&amp;C&amp;D</oddFooter>
  </headerFooter>
  <rowBreaks count="4" manualBreakCount="4">
    <brk id="28" max="32" man="1"/>
    <brk id="112" max="32" man="1"/>
    <brk id="140" max="32" man="1"/>
    <brk id="196" max="3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P41"/>
  <sheetViews>
    <sheetView showGridLines="0" rightToLeft="1" zoomScaleNormal="100" zoomScaleSheetLayoutView="90" workbookViewId="0"/>
  </sheetViews>
  <sheetFormatPr defaultColWidth="9.28515625" defaultRowHeight="12.75"/>
  <cols>
    <col min="1" max="1" width="15.7109375" style="1" customWidth="1"/>
    <col min="2" max="2" width="8.42578125" style="8" customWidth="1"/>
    <col min="3" max="3" width="20.7109375" style="1" customWidth="1"/>
    <col min="4" max="4" width="12.28515625" style="1" customWidth="1"/>
    <col min="5" max="5" width="9.7109375" style="8" customWidth="1"/>
    <col min="6" max="11" width="10.7109375" style="8" customWidth="1"/>
    <col min="12" max="12" width="9.5703125" style="8" customWidth="1"/>
    <col min="13" max="13" width="10.28515625" style="8" customWidth="1"/>
    <col min="14" max="19" width="10" style="8" customWidth="1"/>
    <col min="20" max="20" width="32.28515625" style="8" customWidth="1"/>
    <col min="21" max="21" width="11.42578125" style="1" bestFit="1" customWidth="1"/>
    <col min="22" max="22" width="10.7109375" style="1" bestFit="1" customWidth="1"/>
    <col min="23" max="23" width="9.85546875" style="1" bestFit="1" customWidth="1"/>
    <col min="24" max="24" width="9.28515625" style="1"/>
    <col min="25" max="25" width="10.7109375" style="1" bestFit="1" customWidth="1"/>
    <col min="26" max="26" width="9.28515625" style="1"/>
    <col min="27" max="27" width="11.5703125" style="1" bestFit="1" customWidth="1"/>
    <col min="28" max="36" width="10.85546875" style="1" bestFit="1" customWidth="1"/>
    <col min="37" max="37" width="9.28515625" style="1" bestFit="1" customWidth="1"/>
    <col min="38" max="42" width="10.85546875" style="1" bestFit="1" customWidth="1"/>
    <col min="43" max="16384" width="9.28515625" style="1"/>
  </cols>
  <sheetData>
    <row r="1" spans="2:28" ht="50.1" customHeight="1">
      <c r="B1" s="542"/>
      <c r="C1" s="542"/>
      <c r="D1" s="542"/>
      <c r="E1" s="542"/>
      <c r="F1" s="542"/>
      <c r="G1" s="542"/>
      <c r="H1" s="542"/>
      <c r="I1" s="542"/>
      <c r="J1" s="542"/>
      <c r="K1" s="542"/>
      <c r="L1" s="542"/>
      <c r="M1" s="542"/>
      <c r="N1" s="542"/>
      <c r="O1" s="30"/>
      <c r="P1" s="30"/>
      <c r="Q1" s="30"/>
      <c r="R1" s="30"/>
      <c r="S1" s="30"/>
    </row>
    <row r="2" spans="2:28" ht="25.15" customHeight="1">
      <c r="B2" s="543" t="s">
        <v>435</v>
      </c>
      <c r="C2" s="543"/>
      <c r="D2" s="543"/>
      <c r="E2" s="543"/>
      <c r="F2" s="543"/>
      <c r="G2" s="543"/>
      <c r="H2" s="543"/>
      <c r="I2" s="543"/>
      <c r="J2" s="543"/>
      <c r="K2" s="543"/>
      <c r="L2" s="543"/>
      <c r="M2" s="543"/>
      <c r="N2" s="543"/>
      <c r="O2" s="543"/>
      <c r="P2" s="543"/>
      <c r="Q2" s="543"/>
      <c r="R2" s="543"/>
      <c r="S2" s="543"/>
      <c r="T2" s="543"/>
    </row>
    <row r="3" spans="2:28" ht="25.15" customHeight="1">
      <c r="B3" s="544" t="s">
        <v>353</v>
      </c>
      <c r="C3" s="544"/>
      <c r="D3" s="544"/>
      <c r="E3" s="544"/>
      <c r="F3" s="544"/>
      <c r="G3" s="544"/>
      <c r="H3" s="544"/>
      <c r="I3" s="544"/>
      <c r="J3" s="544"/>
      <c r="K3" s="544"/>
      <c r="L3" s="544"/>
      <c r="M3" s="544"/>
      <c r="N3" s="544"/>
      <c r="O3" s="544"/>
      <c r="P3" s="544"/>
      <c r="Q3" s="544"/>
      <c r="R3" s="544"/>
      <c r="S3" s="544"/>
      <c r="T3" s="544"/>
    </row>
    <row r="4" spans="2:28" ht="25.15" customHeight="1">
      <c r="B4" s="292"/>
      <c r="C4" s="292"/>
      <c r="D4" s="292"/>
      <c r="E4" s="292"/>
      <c r="F4" s="292"/>
      <c r="G4" s="292"/>
      <c r="H4" s="292"/>
      <c r="I4" s="292"/>
      <c r="J4" s="292"/>
      <c r="K4" s="292"/>
      <c r="L4" s="292"/>
      <c r="M4" s="292"/>
      <c r="N4" s="292"/>
      <c r="O4" s="292"/>
      <c r="P4" s="292"/>
      <c r="Q4" s="292"/>
      <c r="R4" s="292"/>
      <c r="S4" s="292"/>
      <c r="T4" s="64" t="s">
        <v>369</v>
      </c>
    </row>
    <row r="5" spans="2:28" ht="25.15" customHeight="1">
      <c r="B5" s="545" t="s">
        <v>23</v>
      </c>
      <c r="C5" s="546" t="s">
        <v>24</v>
      </c>
      <c r="D5" s="545" t="s">
        <v>25</v>
      </c>
      <c r="E5" s="545"/>
      <c r="F5" s="545"/>
      <c r="G5" s="545"/>
      <c r="H5" s="545"/>
      <c r="I5" s="545"/>
      <c r="J5" s="545"/>
      <c r="K5" s="545"/>
      <c r="L5" s="545" t="s">
        <v>26</v>
      </c>
      <c r="M5" s="545"/>
      <c r="N5" s="545"/>
      <c r="O5" s="545"/>
      <c r="P5" s="545"/>
      <c r="Q5" s="545"/>
      <c r="R5" s="545"/>
      <c r="S5" s="545"/>
      <c r="T5" s="545" t="s">
        <v>27</v>
      </c>
    </row>
    <row r="6" spans="2:28" ht="25.15" customHeight="1">
      <c r="B6" s="545"/>
      <c r="C6" s="546"/>
      <c r="D6" s="49">
        <v>2016</v>
      </c>
      <c r="E6" s="49">
        <v>2017</v>
      </c>
      <c r="F6" s="49">
        <v>2018</v>
      </c>
      <c r="G6" s="49">
        <v>2019</v>
      </c>
      <c r="H6" s="49">
        <v>2020</v>
      </c>
      <c r="I6" s="49">
        <v>2021</v>
      </c>
      <c r="J6" s="49" t="s">
        <v>185</v>
      </c>
      <c r="K6" s="49" t="s">
        <v>186</v>
      </c>
      <c r="L6" s="49">
        <v>2016</v>
      </c>
      <c r="M6" s="49">
        <v>2017</v>
      </c>
      <c r="N6" s="49">
        <v>2018</v>
      </c>
      <c r="O6" s="49">
        <v>2019</v>
      </c>
      <c r="P6" s="49">
        <v>2020</v>
      </c>
      <c r="Q6" s="49">
        <v>2021</v>
      </c>
      <c r="R6" s="49" t="s">
        <v>185</v>
      </c>
      <c r="S6" s="49" t="s">
        <v>186</v>
      </c>
      <c r="T6" s="545"/>
    </row>
    <row r="7" spans="2:28" ht="25.15" customHeight="1">
      <c r="B7" s="54" t="s">
        <v>28</v>
      </c>
      <c r="C7" s="55" t="s">
        <v>29</v>
      </c>
      <c r="D7" s="306">
        <v>2370054.1867830195</v>
      </c>
      <c r="E7" s="306">
        <v>2521085.759280859</v>
      </c>
      <c r="F7" s="306">
        <v>2715952.3977203872</v>
      </c>
      <c r="G7" s="306">
        <v>2685798.8411735832</v>
      </c>
      <c r="H7" s="306">
        <v>2314201.9946743413</v>
      </c>
      <c r="I7" s="306">
        <v>2742974.3764378512</v>
      </c>
      <c r="J7" s="306">
        <v>3294398.0465391562</v>
      </c>
      <c r="K7" s="306">
        <v>3423115.9877922195</v>
      </c>
      <c r="L7" s="403"/>
      <c r="M7" s="404" t="s">
        <v>116</v>
      </c>
      <c r="N7" s="404" t="s">
        <v>116</v>
      </c>
      <c r="O7" s="404" t="s">
        <v>116</v>
      </c>
      <c r="P7" s="404" t="s">
        <v>116</v>
      </c>
      <c r="Q7" s="404" t="s">
        <v>116</v>
      </c>
      <c r="R7" s="404" t="s">
        <v>116</v>
      </c>
      <c r="S7" s="404" t="s">
        <v>116</v>
      </c>
      <c r="T7" s="126" t="s">
        <v>30</v>
      </c>
      <c r="U7" s="499"/>
      <c r="V7" s="499"/>
      <c r="W7" s="499"/>
      <c r="X7" s="499"/>
      <c r="Y7" s="499"/>
      <c r="Z7" s="499"/>
      <c r="AA7" s="499"/>
      <c r="AB7" s="499"/>
    </row>
    <row r="8" spans="2:28" ht="25.15" customHeight="1">
      <c r="B8" s="54" t="s">
        <v>31</v>
      </c>
      <c r="C8" s="127" t="s">
        <v>32</v>
      </c>
      <c r="D8" s="132" t="s">
        <v>116</v>
      </c>
      <c r="E8" s="132" t="s">
        <v>116</v>
      </c>
      <c r="F8" s="132" t="s">
        <v>116</v>
      </c>
      <c r="G8" s="132" t="s">
        <v>116</v>
      </c>
      <c r="H8" s="132" t="s">
        <v>116</v>
      </c>
      <c r="I8" s="132" t="s">
        <v>116</v>
      </c>
      <c r="J8" s="132" t="s">
        <v>116</v>
      </c>
      <c r="K8" s="132" t="s">
        <v>116</v>
      </c>
      <c r="L8" s="405">
        <v>1013964.0011821461</v>
      </c>
      <c r="M8" s="406">
        <v>1086912.7965302586</v>
      </c>
      <c r="N8" s="406">
        <v>1147613.3581519141</v>
      </c>
      <c r="O8" s="406">
        <v>1150731.5881036504</v>
      </c>
      <c r="P8" s="406">
        <v>1030762.3458494289</v>
      </c>
      <c r="Q8" s="406">
        <v>1218230.2599904544</v>
      </c>
      <c r="R8" s="406">
        <v>1448115.0145263891</v>
      </c>
      <c r="S8" s="406">
        <v>1534971.9738737845</v>
      </c>
      <c r="T8" s="126" t="s">
        <v>119</v>
      </c>
      <c r="U8" s="498"/>
      <c r="V8" s="498"/>
      <c r="W8" s="498"/>
      <c r="X8" s="498"/>
      <c r="Y8" s="498"/>
      <c r="Z8" s="498"/>
      <c r="AA8" s="498"/>
      <c r="AB8" s="498"/>
    </row>
    <row r="9" spans="2:28" ht="25.15" customHeight="1">
      <c r="B9" s="128" t="s">
        <v>33</v>
      </c>
      <c r="C9" s="127" t="s">
        <v>194</v>
      </c>
      <c r="D9" s="132" t="s">
        <v>116</v>
      </c>
      <c r="E9" s="132" t="s">
        <v>116</v>
      </c>
      <c r="F9" s="132" t="s">
        <v>116</v>
      </c>
      <c r="G9" s="132" t="s">
        <v>116</v>
      </c>
      <c r="H9" s="132" t="s">
        <v>116</v>
      </c>
      <c r="I9" s="132" t="s">
        <v>116</v>
      </c>
      <c r="J9" s="132" t="s">
        <v>116</v>
      </c>
      <c r="K9" s="132" t="s">
        <v>116</v>
      </c>
      <c r="L9" s="405">
        <v>164253.62012149169</v>
      </c>
      <c r="M9" s="406">
        <v>187099</v>
      </c>
      <c r="N9" s="406">
        <v>196198.92291131127</v>
      </c>
      <c r="O9" s="406">
        <v>200902.38089352185</v>
      </c>
      <c r="P9" s="406">
        <v>194820.54983791901</v>
      </c>
      <c r="Q9" s="406">
        <v>222778.73930686014</v>
      </c>
      <c r="R9" s="406">
        <v>233509.02995612586</v>
      </c>
      <c r="S9" s="406">
        <v>234492.41026144093</v>
      </c>
      <c r="T9" s="126" t="s">
        <v>196</v>
      </c>
      <c r="U9" s="498"/>
      <c r="V9" s="498"/>
      <c r="W9" s="498"/>
      <c r="X9" s="498"/>
      <c r="Y9" s="498"/>
      <c r="Z9" s="498"/>
      <c r="AA9" s="498"/>
      <c r="AB9" s="498"/>
    </row>
    <row r="10" spans="2:28" ht="25.15" customHeight="1">
      <c r="B10" s="128" t="s">
        <v>33</v>
      </c>
      <c r="C10" s="127" t="s">
        <v>180</v>
      </c>
      <c r="D10" s="132" t="s">
        <v>116</v>
      </c>
      <c r="E10" s="132" t="s">
        <v>116</v>
      </c>
      <c r="F10" s="132" t="s">
        <v>116</v>
      </c>
      <c r="G10" s="132" t="s">
        <v>116</v>
      </c>
      <c r="H10" s="132" t="s">
        <v>116</v>
      </c>
      <c r="I10" s="132" t="s">
        <v>116</v>
      </c>
      <c r="J10" s="132" t="s">
        <v>116</v>
      </c>
      <c r="K10" s="132" t="s">
        <v>116</v>
      </c>
      <c r="L10" s="405">
        <v>568238.06554614799</v>
      </c>
      <c r="M10" s="406">
        <v>586360.970992674</v>
      </c>
      <c r="N10" s="406">
        <v>593901.96833798895</v>
      </c>
      <c r="O10" s="406">
        <v>601625.26689755102</v>
      </c>
      <c r="P10" s="406">
        <v>594384.0927204442</v>
      </c>
      <c r="Q10" s="406">
        <v>623084.41386491875</v>
      </c>
      <c r="R10" s="406">
        <v>778494.02668811427</v>
      </c>
      <c r="S10" s="406">
        <v>861237.90855405899</v>
      </c>
      <c r="T10" s="126" t="s">
        <v>195</v>
      </c>
      <c r="U10" s="481"/>
      <c r="V10" s="481"/>
      <c r="W10" s="481"/>
      <c r="X10" s="481"/>
      <c r="Y10" s="481"/>
      <c r="Z10" s="481"/>
      <c r="AA10" s="481"/>
      <c r="AB10" s="481"/>
    </row>
    <row r="11" spans="2:28" ht="25.15" customHeight="1">
      <c r="B11" s="54" t="s">
        <v>330</v>
      </c>
      <c r="C11" s="127" t="s">
        <v>110</v>
      </c>
      <c r="D11" s="132" t="s">
        <v>116</v>
      </c>
      <c r="E11" s="132" t="s">
        <v>116</v>
      </c>
      <c r="F11" s="132" t="s">
        <v>116</v>
      </c>
      <c r="G11" s="132" t="s">
        <v>116</v>
      </c>
      <c r="H11" s="132" t="s">
        <v>116</v>
      </c>
      <c r="I11" s="132" t="s">
        <v>116</v>
      </c>
      <c r="J11" s="132" t="s">
        <v>116</v>
      </c>
      <c r="K11" s="132" t="s">
        <v>116</v>
      </c>
      <c r="L11" s="218">
        <v>293398.49993323284</v>
      </c>
      <c r="M11" s="217">
        <v>305212.99175792688</v>
      </c>
      <c r="N11" s="217">
        <v>342378.14831917285</v>
      </c>
      <c r="O11" s="217">
        <v>369479.60527886025</v>
      </c>
      <c r="P11" s="217">
        <v>299411.87782678229</v>
      </c>
      <c r="Q11" s="217">
        <v>393795.96327561833</v>
      </c>
      <c r="R11" s="217">
        <v>489411.97536852717</v>
      </c>
      <c r="S11" s="217">
        <v>511284.02843626984</v>
      </c>
      <c r="T11" s="126" t="s">
        <v>306</v>
      </c>
      <c r="U11" s="500"/>
      <c r="V11" s="500"/>
      <c r="W11" s="500"/>
      <c r="X11" s="500"/>
      <c r="Y11" s="500"/>
      <c r="Z11" s="500"/>
      <c r="AA11" s="500"/>
      <c r="AB11" s="500"/>
    </row>
    <row r="12" spans="2:28" ht="25.15" customHeight="1">
      <c r="B12" s="387" t="s">
        <v>34</v>
      </c>
      <c r="C12" s="388" t="s">
        <v>109</v>
      </c>
      <c r="D12" s="389" t="s">
        <v>116</v>
      </c>
      <c r="E12" s="389" t="s">
        <v>116</v>
      </c>
      <c r="F12" s="389" t="s">
        <v>116</v>
      </c>
      <c r="G12" s="389" t="s">
        <v>116</v>
      </c>
      <c r="H12" s="389" t="s">
        <v>116</v>
      </c>
      <c r="I12" s="389" t="s">
        <v>116</v>
      </c>
      <c r="J12" s="389" t="s">
        <v>116</v>
      </c>
      <c r="K12" s="389" t="s">
        <v>116</v>
      </c>
      <c r="L12" s="407">
        <v>1324400</v>
      </c>
      <c r="M12" s="408">
        <v>1403400</v>
      </c>
      <c r="N12" s="408">
        <v>1469800</v>
      </c>
      <c r="O12" s="408">
        <v>1486860</v>
      </c>
      <c r="P12" s="408">
        <v>1286393.6000000001</v>
      </c>
      <c r="Q12" s="408">
        <v>1561385</v>
      </c>
      <c r="R12" s="408">
        <v>1916668.0000000002</v>
      </c>
      <c r="S12" s="408">
        <v>2050729.6666666665</v>
      </c>
      <c r="T12" s="392" t="s">
        <v>35</v>
      </c>
      <c r="U12" s="500"/>
      <c r="V12" s="500"/>
      <c r="W12" s="500"/>
      <c r="X12" s="500"/>
      <c r="Y12" s="500"/>
      <c r="Z12" s="500"/>
      <c r="AA12" s="500"/>
      <c r="AB12" s="500"/>
    </row>
    <row r="13" spans="2:28" ht="25.15" customHeight="1">
      <c r="B13" s="54" t="s">
        <v>36</v>
      </c>
      <c r="C13" s="129" t="s">
        <v>108</v>
      </c>
      <c r="D13" s="132" t="s">
        <v>116</v>
      </c>
      <c r="E13" s="132" t="s">
        <v>116</v>
      </c>
      <c r="F13" s="132" t="s">
        <v>116</v>
      </c>
      <c r="G13" s="132" t="s">
        <v>116</v>
      </c>
      <c r="H13" s="132" t="s">
        <v>116</v>
      </c>
      <c r="I13" s="132" t="s">
        <v>116</v>
      </c>
      <c r="J13" s="132" t="s">
        <v>116</v>
      </c>
      <c r="K13" s="132" t="s">
        <v>116</v>
      </c>
      <c r="L13" s="218">
        <v>1083500</v>
      </c>
      <c r="M13" s="217">
        <v>1144500</v>
      </c>
      <c r="N13" s="217">
        <v>1206000</v>
      </c>
      <c r="O13" s="217">
        <v>1155360</v>
      </c>
      <c r="P13" s="217">
        <v>999493.60000000009</v>
      </c>
      <c r="Q13" s="217">
        <v>1187385</v>
      </c>
      <c r="R13" s="217">
        <v>1349668.0000000002</v>
      </c>
      <c r="S13" s="217">
        <v>1455629.6666666667</v>
      </c>
      <c r="T13" s="130" t="s">
        <v>120</v>
      </c>
      <c r="U13" s="500"/>
      <c r="V13" s="500"/>
      <c r="W13" s="500"/>
      <c r="X13" s="500"/>
      <c r="Y13" s="500"/>
      <c r="Z13" s="500"/>
      <c r="AA13" s="500"/>
      <c r="AB13" s="500"/>
    </row>
    <row r="14" spans="2:28" ht="25.15" customHeight="1">
      <c r="B14" s="393" t="s">
        <v>37</v>
      </c>
      <c r="C14" s="394" t="s">
        <v>107</v>
      </c>
      <c r="D14" s="395" t="s">
        <v>116</v>
      </c>
      <c r="E14" s="395" t="s">
        <v>116</v>
      </c>
      <c r="F14" s="395" t="s">
        <v>116</v>
      </c>
      <c r="G14" s="395" t="s">
        <v>116</v>
      </c>
      <c r="H14" s="395" t="s">
        <v>116</v>
      </c>
      <c r="I14" s="395" t="s">
        <v>116</v>
      </c>
      <c r="J14" s="395" t="s">
        <v>116</v>
      </c>
      <c r="K14" s="395" t="s">
        <v>116</v>
      </c>
      <c r="L14" s="409">
        <v>240900</v>
      </c>
      <c r="M14" s="410">
        <v>258900</v>
      </c>
      <c r="N14" s="410">
        <v>263800</v>
      </c>
      <c r="O14" s="410">
        <v>331500</v>
      </c>
      <c r="P14" s="410">
        <v>286900</v>
      </c>
      <c r="Q14" s="410">
        <v>374000</v>
      </c>
      <c r="R14" s="410">
        <v>567000</v>
      </c>
      <c r="S14" s="410">
        <v>595099.99999999988</v>
      </c>
      <c r="T14" s="398" t="s">
        <v>103</v>
      </c>
      <c r="U14" s="500"/>
      <c r="V14" s="500"/>
      <c r="W14" s="500"/>
      <c r="X14" s="500"/>
      <c r="Y14" s="500"/>
      <c r="Z14" s="500"/>
      <c r="AA14" s="500"/>
      <c r="AB14" s="500"/>
    </row>
    <row r="15" spans="2:28" ht="25.15" customHeight="1">
      <c r="B15" s="128" t="s">
        <v>38</v>
      </c>
      <c r="C15" s="127" t="s">
        <v>105</v>
      </c>
      <c r="D15" s="294">
        <v>994200</v>
      </c>
      <c r="E15" s="294">
        <v>1047900</v>
      </c>
      <c r="F15" s="294">
        <v>1033940</v>
      </c>
      <c r="G15" s="294">
        <v>1123800</v>
      </c>
      <c r="H15" s="294">
        <v>1091570.4715602342</v>
      </c>
      <c r="I15" s="294">
        <v>1276300</v>
      </c>
      <c r="J15" s="294">
        <v>1571800</v>
      </c>
      <c r="K15" s="294">
        <v>1769600</v>
      </c>
      <c r="L15" s="218"/>
      <c r="M15" s="217"/>
      <c r="N15" s="217"/>
      <c r="O15" s="217"/>
      <c r="P15" s="217"/>
      <c r="Q15" s="217"/>
      <c r="R15" s="217"/>
      <c r="S15" s="217"/>
      <c r="T15" s="126" t="s">
        <v>121</v>
      </c>
      <c r="U15" s="500"/>
      <c r="V15" s="500"/>
      <c r="W15" s="500"/>
      <c r="X15" s="500"/>
      <c r="Y15" s="500"/>
      <c r="Z15" s="500"/>
      <c r="AA15" s="500"/>
      <c r="AB15" s="500"/>
    </row>
    <row r="16" spans="2:28" ht="25.15" customHeight="1">
      <c r="B16" s="54" t="s">
        <v>39</v>
      </c>
      <c r="C16" s="129" t="s">
        <v>111</v>
      </c>
      <c r="D16" s="294">
        <v>686300</v>
      </c>
      <c r="E16" s="294">
        <v>784200</v>
      </c>
      <c r="F16" s="294">
        <v>768340</v>
      </c>
      <c r="G16" s="294">
        <v>799900</v>
      </c>
      <c r="H16" s="294">
        <v>864370.4715602342</v>
      </c>
      <c r="I16" s="294">
        <v>996800.00000000012</v>
      </c>
      <c r="J16" s="294">
        <v>1215900</v>
      </c>
      <c r="K16" s="294">
        <v>1383300</v>
      </c>
      <c r="L16" s="218"/>
      <c r="M16" s="217"/>
      <c r="N16" s="217"/>
      <c r="O16" s="217"/>
      <c r="P16" s="217"/>
      <c r="Q16" s="217"/>
      <c r="R16" s="217"/>
      <c r="S16" s="217"/>
      <c r="T16" s="130" t="s">
        <v>122</v>
      </c>
      <c r="U16" s="500"/>
      <c r="V16" s="500"/>
      <c r="W16" s="500"/>
      <c r="X16" s="500"/>
      <c r="Y16" s="500"/>
      <c r="Z16" s="500"/>
      <c r="AA16" s="500"/>
      <c r="AB16" s="500"/>
    </row>
    <row r="17" spans="2:42" ht="25.15" customHeight="1" thickBot="1">
      <c r="B17" s="20" t="s">
        <v>40</v>
      </c>
      <c r="C17" s="51" t="s">
        <v>106</v>
      </c>
      <c r="D17" s="295">
        <v>307900</v>
      </c>
      <c r="E17" s="295">
        <v>263700</v>
      </c>
      <c r="F17" s="295">
        <v>265600</v>
      </c>
      <c r="G17" s="295">
        <v>323900</v>
      </c>
      <c r="H17" s="295">
        <v>227200</v>
      </c>
      <c r="I17" s="295">
        <v>279500</v>
      </c>
      <c r="J17" s="295">
        <v>355900</v>
      </c>
      <c r="K17" s="296">
        <v>386300</v>
      </c>
      <c r="L17" s="219"/>
      <c r="M17" s="220"/>
      <c r="N17" s="220"/>
      <c r="O17" s="220"/>
      <c r="P17" s="220"/>
      <c r="Q17" s="220"/>
      <c r="R17" s="220"/>
      <c r="S17" s="220"/>
      <c r="T17" s="52" t="s">
        <v>104</v>
      </c>
      <c r="U17" s="500"/>
      <c r="V17" s="500"/>
      <c r="W17" s="500"/>
      <c r="X17" s="500"/>
      <c r="Y17" s="500"/>
      <c r="Z17" s="500"/>
      <c r="AA17" s="500"/>
      <c r="AB17" s="500"/>
    </row>
    <row r="18" spans="2:42" ht="24.95" customHeight="1">
      <c r="B18" s="534" t="s">
        <v>326</v>
      </c>
      <c r="C18" s="534"/>
      <c r="D18" s="31"/>
      <c r="E18" s="31"/>
      <c r="F18" s="31"/>
      <c r="G18" s="31"/>
      <c r="H18" s="31"/>
      <c r="I18" s="31"/>
      <c r="J18" s="31"/>
      <c r="K18" s="31"/>
      <c r="L18" s="31"/>
      <c r="M18" s="31"/>
      <c r="N18" s="31"/>
      <c r="O18" s="31"/>
      <c r="P18" s="31"/>
      <c r="Q18" s="31"/>
      <c r="R18" s="313"/>
      <c r="S18" s="13"/>
      <c r="T18" s="313" t="s">
        <v>327</v>
      </c>
    </row>
    <row r="19" spans="2:42" s="2" customFormat="1" ht="24.95" customHeight="1">
      <c r="B19" s="535" t="s">
        <v>399</v>
      </c>
      <c r="C19" s="535"/>
      <c r="D19" s="11"/>
      <c r="E19" s="11"/>
      <c r="F19" s="12"/>
      <c r="G19" s="12"/>
      <c r="H19" s="22"/>
      <c r="I19" s="22"/>
      <c r="J19" s="22"/>
      <c r="K19" s="22"/>
      <c r="L19" s="22"/>
      <c r="M19" s="22"/>
      <c r="N19" s="177"/>
      <c r="O19" s="177"/>
      <c r="P19" s="177"/>
      <c r="Q19" s="177"/>
      <c r="R19" s="313"/>
      <c r="S19" s="91"/>
      <c r="T19" s="313" t="s">
        <v>193</v>
      </c>
      <c r="U19" s="91"/>
      <c r="V19" s="91"/>
      <c r="W19" s="91"/>
      <c r="X19" s="91"/>
      <c r="Y19" s="91"/>
      <c r="Z19" s="91"/>
      <c r="AA19" s="91"/>
      <c r="AB19" s="91"/>
      <c r="AC19" s="29"/>
    </row>
    <row r="20" spans="2:42" ht="24.95" customHeight="1">
      <c r="B20" s="81" t="s">
        <v>192</v>
      </c>
      <c r="C20" s="81"/>
      <c r="D20" s="78"/>
      <c r="E20" s="78"/>
      <c r="F20" s="79"/>
      <c r="G20" s="80"/>
      <c r="K20" s="100"/>
      <c r="L20" s="100"/>
      <c r="M20" s="100"/>
      <c r="N20" s="100"/>
      <c r="O20" s="100"/>
      <c r="P20" s="100"/>
      <c r="Q20" s="100"/>
      <c r="R20" s="81"/>
      <c r="S20" s="80"/>
      <c r="T20" s="81" t="s">
        <v>551</v>
      </c>
    </row>
    <row r="21" spans="2:42" ht="24" customHeight="1">
      <c r="B21" s="7"/>
      <c r="C21" s="19"/>
      <c r="D21" s="297"/>
      <c r="E21" s="297"/>
      <c r="F21" s="297"/>
      <c r="G21" s="297"/>
      <c r="H21" s="297"/>
      <c r="I21" s="297"/>
      <c r="J21" s="297"/>
      <c r="K21" s="297"/>
      <c r="L21" s="7"/>
      <c r="M21" s="7"/>
      <c r="N21" s="7"/>
      <c r="O21" s="7"/>
      <c r="P21" s="7"/>
      <c r="Q21" s="7"/>
      <c r="R21" s="7"/>
      <c r="S21" s="7"/>
    </row>
    <row r="22" spans="2:42" ht="25.15" customHeight="1">
      <c r="B22" s="543" t="s">
        <v>436</v>
      </c>
      <c r="C22" s="543"/>
      <c r="D22" s="543"/>
      <c r="E22" s="543"/>
      <c r="F22" s="543"/>
      <c r="G22" s="543"/>
      <c r="H22" s="543"/>
      <c r="I22" s="543"/>
      <c r="J22" s="543"/>
      <c r="K22" s="543"/>
      <c r="L22" s="543"/>
      <c r="M22" s="543"/>
      <c r="N22" s="543"/>
      <c r="O22" s="543"/>
      <c r="P22" s="543"/>
      <c r="Q22" s="543"/>
      <c r="R22" s="543"/>
      <c r="S22" s="543"/>
      <c r="T22" s="543"/>
    </row>
    <row r="23" spans="2:42" ht="25.15" customHeight="1">
      <c r="B23" s="544" t="s">
        <v>424</v>
      </c>
      <c r="C23" s="544"/>
      <c r="D23" s="544"/>
      <c r="E23" s="544"/>
      <c r="F23" s="544"/>
      <c r="G23" s="544"/>
      <c r="H23" s="544"/>
      <c r="I23" s="544"/>
      <c r="J23" s="544"/>
      <c r="K23" s="544"/>
      <c r="L23" s="544"/>
      <c r="M23" s="544"/>
      <c r="N23" s="544"/>
      <c r="O23" s="544"/>
      <c r="P23" s="544"/>
      <c r="Q23" s="544"/>
      <c r="R23" s="544"/>
      <c r="S23" s="544"/>
      <c r="T23" s="544"/>
    </row>
    <row r="24" spans="2:42" ht="25.15" customHeight="1">
      <c r="B24" s="292"/>
      <c r="C24" s="292"/>
      <c r="D24" s="292"/>
      <c r="E24" s="292"/>
      <c r="F24" s="292"/>
      <c r="G24" s="292"/>
      <c r="H24" s="292"/>
      <c r="I24" s="292"/>
      <c r="J24" s="292"/>
      <c r="K24" s="292"/>
      <c r="L24" s="292"/>
      <c r="M24" s="292"/>
      <c r="N24" s="292"/>
      <c r="O24" s="292"/>
      <c r="P24" s="292"/>
      <c r="Q24" s="292"/>
      <c r="R24" s="292"/>
      <c r="S24" s="292"/>
      <c r="T24" s="211" t="s">
        <v>425</v>
      </c>
    </row>
    <row r="25" spans="2:42" ht="25.15" customHeight="1">
      <c r="B25" s="545" t="s">
        <v>23</v>
      </c>
      <c r="C25" s="546" t="s">
        <v>24</v>
      </c>
      <c r="D25" s="545" t="s">
        <v>25</v>
      </c>
      <c r="E25" s="545"/>
      <c r="F25" s="545"/>
      <c r="G25" s="545"/>
      <c r="H25" s="545"/>
      <c r="I25" s="545"/>
      <c r="J25" s="545"/>
      <c r="K25" s="545"/>
      <c r="L25" s="545" t="s">
        <v>26</v>
      </c>
      <c r="M25" s="545"/>
      <c r="N25" s="545"/>
      <c r="O25" s="545"/>
      <c r="P25" s="545"/>
      <c r="Q25" s="545"/>
      <c r="R25" s="545"/>
      <c r="S25" s="545"/>
      <c r="T25" s="545" t="s">
        <v>27</v>
      </c>
      <c r="U25" s="308"/>
      <c r="V25" s="308"/>
    </row>
    <row r="26" spans="2:42" ht="25.15" customHeight="1">
      <c r="B26" s="545"/>
      <c r="C26" s="546"/>
      <c r="D26" s="49">
        <v>2016</v>
      </c>
      <c r="E26" s="49">
        <v>2017</v>
      </c>
      <c r="F26" s="49">
        <v>2018</v>
      </c>
      <c r="G26" s="49">
        <v>2019</v>
      </c>
      <c r="H26" s="49">
        <v>2020</v>
      </c>
      <c r="I26" s="49">
        <v>2021</v>
      </c>
      <c r="J26" s="49" t="s">
        <v>185</v>
      </c>
      <c r="K26" s="49" t="s">
        <v>186</v>
      </c>
      <c r="L26" s="49">
        <v>2016</v>
      </c>
      <c r="M26" s="49">
        <v>2017</v>
      </c>
      <c r="N26" s="49">
        <v>2018</v>
      </c>
      <c r="O26" s="49">
        <v>2019</v>
      </c>
      <c r="P26" s="49">
        <v>2020</v>
      </c>
      <c r="Q26" s="49">
        <v>2021</v>
      </c>
      <c r="R26" s="49" t="s">
        <v>185</v>
      </c>
      <c r="S26" s="49" t="s">
        <v>186</v>
      </c>
      <c r="T26" s="545"/>
    </row>
    <row r="27" spans="2:42" ht="25.15" customHeight="1">
      <c r="B27" s="54" t="s">
        <v>28</v>
      </c>
      <c r="C27" s="55" t="s">
        <v>29</v>
      </c>
      <c r="D27" s="382">
        <v>645351.7186611353</v>
      </c>
      <c r="E27" s="382">
        <v>686476.72138348781</v>
      </c>
      <c r="F27" s="382">
        <v>739537.75295313471</v>
      </c>
      <c r="G27" s="382">
        <v>731327.11808674829</v>
      </c>
      <c r="H27" s="382">
        <v>630143.49752875185</v>
      </c>
      <c r="I27" s="382">
        <v>746895.67772303638</v>
      </c>
      <c r="J27" s="382">
        <v>897045.07734218007</v>
      </c>
      <c r="K27" s="382">
        <v>932094.21042674466</v>
      </c>
      <c r="L27" s="383">
        <v>0</v>
      </c>
      <c r="M27" s="382" t="s">
        <v>116</v>
      </c>
      <c r="N27" s="382" t="s">
        <v>116</v>
      </c>
      <c r="O27" s="382" t="s">
        <v>116</v>
      </c>
      <c r="P27" s="382" t="s">
        <v>116</v>
      </c>
      <c r="Q27" s="382" t="s">
        <v>116</v>
      </c>
      <c r="R27" s="382" t="s">
        <v>116</v>
      </c>
      <c r="S27" s="382" t="s">
        <v>116</v>
      </c>
      <c r="T27" s="126" t="s">
        <v>30</v>
      </c>
      <c r="U27" s="136"/>
      <c r="V27" s="136"/>
      <c r="W27" s="136"/>
      <c r="X27" s="136"/>
      <c r="Y27" s="136"/>
      <c r="Z27" s="136"/>
      <c r="AA27" s="136"/>
      <c r="AB27" s="136"/>
      <c r="AC27" s="136"/>
      <c r="AD27" s="136"/>
      <c r="AE27" s="136"/>
      <c r="AF27" s="136"/>
      <c r="AG27" s="136"/>
      <c r="AH27" s="136"/>
      <c r="AI27" s="136"/>
      <c r="AJ27" s="136"/>
      <c r="AK27" s="171"/>
      <c r="AL27" s="171"/>
      <c r="AM27" s="171"/>
      <c r="AN27" s="171"/>
      <c r="AO27" s="171"/>
      <c r="AP27" s="171"/>
    </row>
    <row r="28" spans="2:42" ht="25.15" customHeight="1">
      <c r="B28" s="54" t="s">
        <v>31</v>
      </c>
      <c r="C28" s="127" t="s">
        <v>32</v>
      </c>
      <c r="D28" s="306" t="s">
        <v>116</v>
      </c>
      <c r="E28" s="306" t="s">
        <v>116</v>
      </c>
      <c r="F28" s="306" t="s">
        <v>116</v>
      </c>
      <c r="G28" s="306" t="s">
        <v>116</v>
      </c>
      <c r="H28" s="306" t="s">
        <v>116</v>
      </c>
      <c r="I28" s="306" t="s">
        <v>116</v>
      </c>
      <c r="J28" s="306" t="s">
        <v>116</v>
      </c>
      <c r="K28" s="306" t="s">
        <v>116</v>
      </c>
      <c r="L28" s="305">
        <v>276096.39242536313</v>
      </c>
      <c r="M28" s="306">
        <v>295959.91736698669</v>
      </c>
      <c r="N28" s="306">
        <v>312488.32080378872</v>
      </c>
      <c r="O28" s="306">
        <v>313337.39635225333</v>
      </c>
      <c r="P28" s="306">
        <v>280670.48219181184</v>
      </c>
      <c r="Q28" s="306">
        <v>331716.88495315303</v>
      </c>
      <c r="R28" s="306">
        <v>394313.14214469411</v>
      </c>
      <c r="S28" s="306">
        <v>417963.77777366497</v>
      </c>
      <c r="T28" s="126" t="s">
        <v>119</v>
      </c>
      <c r="U28" s="136"/>
      <c r="V28" s="136"/>
      <c r="W28" s="136"/>
      <c r="X28" s="136"/>
      <c r="Y28" s="136"/>
      <c r="Z28" s="136"/>
      <c r="AA28" s="136"/>
      <c r="AB28" s="136"/>
      <c r="AC28" s="136"/>
      <c r="AD28" s="136"/>
      <c r="AE28" s="136"/>
      <c r="AF28" s="136"/>
      <c r="AG28" s="136"/>
      <c r="AH28" s="136"/>
      <c r="AI28" s="136"/>
      <c r="AJ28" s="136"/>
      <c r="AK28" s="171"/>
      <c r="AL28" s="171"/>
      <c r="AM28" s="171"/>
      <c r="AN28" s="171"/>
      <c r="AO28" s="171"/>
      <c r="AP28" s="171"/>
    </row>
    <row r="29" spans="2:42" ht="25.15" customHeight="1">
      <c r="B29" s="128" t="s">
        <v>33</v>
      </c>
      <c r="C29" s="127" t="s">
        <v>194</v>
      </c>
      <c r="D29" s="306" t="s">
        <v>116</v>
      </c>
      <c r="E29" s="306" t="s">
        <v>116</v>
      </c>
      <c r="F29" s="306" t="s">
        <v>116</v>
      </c>
      <c r="G29" s="306" t="s">
        <v>116</v>
      </c>
      <c r="H29" s="306" t="s">
        <v>116</v>
      </c>
      <c r="I29" s="306" t="s">
        <v>116</v>
      </c>
      <c r="J29" s="306" t="s">
        <v>116</v>
      </c>
      <c r="K29" s="306" t="s">
        <v>116</v>
      </c>
      <c r="L29" s="305">
        <v>44725.287984068535</v>
      </c>
      <c r="M29" s="306">
        <v>50945.949625595647</v>
      </c>
      <c r="N29" s="306">
        <v>53423.804740996944</v>
      </c>
      <c r="O29" s="306">
        <v>54704.52849381126</v>
      </c>
      <c r="P29" s="306">
        <v>53048.481916383666</v>
      </c>
      <c r="Q29" s="306">
        <v>60661.331329301604</v>
      </c>
      <c r="R29" s="306">
        <v>63583.125924064225</v>
      </c>
      <c r="S29" s="306">
        <v>63850.894557233747</v>
      </c>
      <c r="T29" s="126" t="s">
        <v>196</v>
      </c>
      <c r="U29" s="136"/>
      <c r="V29" s="136"/>
      <c r="W29" s="136"/>
      <c r="X29" s="136"/>
      <c r="Y29" s="136"/>
      <c r="Z29" s="136"/>
      <c r="AA29" s="136"/>
      <c r="AB29" s="136"/>
      <c r="AC29" s="136"/>
      <c r="AD29" s="136"/>
      <c r="AE29" s="136"/>
      <c r="AF29" s="136"/>
      <c r="AG29" s="136"/>
      <c r="AH29" s="136"/>
      <c r="AI29" s="136"/>
      <c r="AJ29" s="136"/>
      <c r="AK29" s="171"/>
      <c r="AL29" s="171"/>
      <c r="AM29" s="171"/>
      <c r="AN29" s="171"/>
      <c r="AO29" s="171"/>
      <c r="AP29" s="171"/>
    </row>
    <row r="30" spans="2:42" ht="25.15" customHeight="1">
      <c r="B30" s="128" t="s">
        <v>33</v>
      </c>
      <c r="C30" s="127" t="s">
        <v>180</v>
      </c>
      <c r="D30" s="306" t="s">
        <v>116</v>
      </c>
      <c r="E30" s="306" t="s">
        <v>116</v>
      </c>
      <c r="F30" s="306" t="s">
        <v>116</v>
      </c>
      <c r="G30" s="306" t="s">
        <v>116</v>
      </c>
      <c r="H30" s="306" t="s">
        <v>116</v>
      </c>
      <c r="I30" s="306" t="s">
        <v>116</v>
      </c>
      <c r="J30" s="306" t="s">
        <v>116</v>
      </c>
      <c r="K30" s="306" t="s">
        <v>116</v>
      </c>
      <c r="L30" s="305">
        <v>154727.85991726289</v>
      </c>
      <c r="M30" s="306">
        <v>159662.6197393258</v>
      </c>
      <c r="N30" s="306">
        <v>161715.98865568114</v>
      </c>
      <c r="O30" s="306">
        <v>163818.99711301594</v>
      </c>
      <c r="P30" s="306">
        <v>161847.26826969208</v>
      </c>
      <c r="Q30" s="306">
        <v>169662.19574265997</v>
      </c>
      <c r="R30" s="306">
        <v>211979.31291711758</v>
      </c>
      <c r="S30" s="306">
        <v>234509.98190716378</v>
      </c>
      <c r="T30" s="126" t="s">
        <v>195</v>
      </c>
      <c r="U30" s="136"/>
      <c r="V30" s="136"/>
      <c r="W30" s="136"/>
      <c r="X30" s="136"/>
      <c r="Y30" s="136"/>
      <c r="Z30" s="136"/>
      <c r="AA30" s="136"/>
      <c r="AB30" s="136"/>
      <c r="AC30" s="136"/>
      <c r="AD30" s="136"/>
      <c r="AE30" s="136"/>
      <c r="AF30" s="136"/>
      <c r="AG30" s="136"/>
      <c r="AH30" s="136"/>
      <c r="AI30" s="136"/>
      <c r="AJ30" s="136"/>
      <c r="AK30" s="171"/>
      <c r="AL30" s="171"/>
      <c r="AM30" s="171"/>
      <c r="AN30" s="171"/>
      <c r="AO30" s="171"/>
      <c r="AP30" s="171"/>
    </row>
    <row r="31" spans="2:42" ht="25.15" customHeight="1">
      <c r="B31" s="54" t="s">
        <v>330</v>
      </c>
      <c r="C31" s="127" t="s">
        <v>110</v>
      </c>
      <c r="D31" s="306" t="s">
        <v>116</v>
      </c>
      <c r="E31" s="306" t="s">
        <v>116</v>
      </c>
      <c r="F31" s="306" t="s">
        <v>116</v>
      </c>
      <c r="G31" s="306" t="s">
        <v>116</v>
      </c>
      <c r="H31" s="306" t="s">
        <v>116</v>
      </c>
      <c r="I31" s="306" t="s">
        <v>116</v>
      </c>
      <c r="J31" s="306" t="s">
        <v>116</v>
      </c>
      <c r="K31" s="306" t="s">
        <v>116</v>
      </c>
      <c r="L31" s="305">
        <v>79890.673909661768</v>
      </c>
      <c r="M31" s="306">
        <v>83107.690063424612</v>
      </c>
      <c r="N31" s="306">
        <v>93227.542088270347</v>
      </c>
      <c r="O31" s="306">
        <v>100607.10831282784</v>
      </c>
      <c r="P31" s="306">
        <v>81528.081096468974</v>
      </c>
      <c r="Q31" s="306">
        <v>107228.30858423917</v>
      </c>
      <c r="R31" s="306">
        <v>133263.98240123273</v>
      </c>
      <c r="S31" s="306">
        <v>139219.61291661536</v>
      </c>
      <c r="T31" s="126" t="s">
        <v>306</v>
      </c>
      <c r="U31" s="136"/>
      <c r="V31" s="136"/>
      <c r="W31" s="136"/>
      <c r="X31" s="136"/>
      <c r="Y31" s="136"/>
      <c r="Z31" s="136"/>
      <c r="AA31" s="136"/>
      <c r="AB31" s="136"/>
      <c r="AC31" s="136"/>
      <c r="AD31" s="136"/>
      <c r="AE31" s="136"/>
      <c r="AF31" s="136"/>
      <c r="AG31" s="136"/>
      <c r="AH31" s="136"/>
      <c r="AI31" s="136"/>
      <c r="AJ31" s="136"/>
      <c r="AK31" s="171"/>
      <c r="AL31" s="171"/>
      <c r="AM31" s="171"/>
      <c r="AN31" s="171"/>
      <c r="AO31" s="171"/>
      <c r="AP31" s="171"/>
    </row>
    <row r="32" spans="2:42" ht="25.15" customHeight="1">
      <c r="B32" s="387" t="s">
        <v>34</v>
      </c>
      <c r="C32" s="388" t="s">
        <v>109</v>
      </c>
      <c r="D32" s="399" t="s">
        <v>116</v>
      </c>
      <c r="E32" s="399" t="s">
        <v>116</v>
      </c>
      <c r="F32" s="399" t="s">
        <v>116</v>
      </c>
      <c r="G32" s="399" t="s">
        <v>116</v>
      </c>
      <c r="H32" s="399" t="s">
        <v>116</v>
      </c>
      <c r="I32" s="399" t="s">
        <v>116</v>
      </c>
      <c r="J32" s="399" t="s">
        <v>116</v>
      </c>
      <c r="K32" s="399" t="s">
        <v>116</v>
      </c>
      <c r="L32" s="400">
        <v>360626.27637848881</v>
      </c>
      <c r="M32" s="399">
        <v>382137.50850918994</v>
      </c>
      <c r="N32" s="399">
        <v>400217.83526208304</v>
      </c>
      <c r="O32" s="399">
        <v>404863.17222600407</v>
      </c>
      <c r="P32" s="399">
        <v>350277.35874744726</v>
      </c>
      <c r="Q32" s="399">
        <v>425155.88835942821</v>
      </c>
      <c r="R32" s="399">
        <v>521897.34513274342</v>
      </c>
      <c r="S32" s="399">
        <v>558401.54299977305</v>
      </c>
      <c r="T32" s="392" t="s">
        <v>35</v>
      </c>
      <c r="U32" s="136"/>
      <c r="V32" s="136"/>
      <c r="W32" s="136"/>
      <c r="X32" s="136"/>
      <c r="Y32" s="136"/>
      <c r="Z32" s="136"/>
      <c r="AA32" s="136"/>
      <c r="AB32" s="136"/>
      <c r="AC32" s="136"/>
      <c r="AD32" s="136"/>
      <c r="AE32" s="136"/>
      <c r="AF32" s="136"/>
      <c r="AG32" s="136"/>
      <c r="AH32" s="136"/>
      <c r="AI32" s="136"/>
      <c r="AJ32" s="136"/>
      <c r="AK32" s="171"/>
      <c r="AL32" s="171"/>
      <c r="AM32" s="171"/>
      <c r="AN32" s="171"/>
      <c r="AO32" s="171"/>
      <c r="AP32" s="171"/>
    </row>
    <row r="33" spans="2:42" ht="25.15" customHeight="1">
      <c r="B33" s="54" t="s">
        <v>36</v>
      </c>
      <c r="C33" s="129" t="s">
        <v>108</v>
      </c>
      <c r="D33" s="306" t="s">
        <v>116</v>
      </c>
      <c r="E33" s="306" t="s">
        <v>116</v>
      </c>
      <c r="F33" s="306" t="s">
        <v>116</v>
      </c>
      <c r="G33" s="306" t="s">
        <v>116</v>
      </c>
      <c r="H33" s="306" t="s">
        <v>116</v>
      </c>
      <c r="I33" s="306" t="s">
        <v>116</v>
      </c>
      <c r="J33" s="306" t="s">
        <v>116</v>
      </c>
      <c r="K33" s="306" t="s">
        <v>116</v>
      </c>
      <c r="L33" s="305">
        <v>295030.63308373041</v>
      </c>
      <c r="M33" s="306">
        <v>311640.57181756297</v>
      </c>
      <c r="N33" s="306">
        <v>328386.6575901974</v>
      </c>
      <c r="O33" s="306">
        <v>314597.68550034036</v>
      </c>
      <c r="P33" s="306">
        <v>272156.18788291357</v>
      </c>
      <c r="Q33" s="306">
        <v>323317.90333560249</v>
      </c>
      <c r="R33" s="306">
        <v>367506.60313138197</v>
      </c>
      <c r="S33" s="306">
        <v>396359.33741774451</v>
      </c>
      <c r="T33" s="130" t="s">
        <v>120</v>
      </c>
      <c r="U33" s="136"/>
      <c r="V33" s="136"/>
      <c r="W33" s="136"/>
      <c r="X33" s="136"/>
      <c r="Y33" s="136"/>
      <c r="Z33" s="136"/>
      <c r="AA33" s="136"/>
      <c r="AB33" s="136"/>
      <c r="AC33" s="136"/>
      <c r="AD33" s="136"/>
      <c r="AE33" s="136"/>
      <c r="AF33" s="136"/>
      <c r="AG33" s="136"/>
      <c r="AH33" s="136"/>
      <c r="AI33" s="136"/>
      <c r="AJ33" s="136"/>
      <c r="AK33" s="171"/>
      <c r="AL33" s="171"/>
      <c r="AM33" s="171"/>
      <c r="AN33" s="171"/>
      <c r="AO33" s="171"/>
      <c r="AP33" s="171"/>
    </row>
    <row r="34" spans="2:42" ht="25.15" customHeight="1">
      <c r="B34" s="393" t="s">
        <v>37</v>
      </c>
      <c r="C34" s="394" t="s">
        <v>107</v>
      </c>
      <c r="D34" s="401" t="s">
        <v>116</v>
      </c>
      <c r="E34" s="401" t="s">
        <v>116</v>
      </c>
      <c r="F34" s="401" t="s">
        <v>116</v>
      </c>
      <c r="G34" s="401" t="s">
        <v>116</v>
      </c>
      <c r="H34" s="401" t="s">
        <v>116</v>
      </c>
      <c r="I34" s="401" t="s">
        <v>116</v>
      </c>
      <c r="J34" s="401" t="s">
        <v>116</v>
      </c>
      <c r="K34" s="401" t="s">
        <v>116</v>
      </c>
      <c r="L34" s="402">
        <v>65595.643294758338</v>
      </c>
      <c r="M34" s="401">
        <v>70496.936691626965</v>
      </c>
      <c r="N34" s="401">
        <v>71831.177671885642</v>
      </c>
      <c r="O34" s="401">
        <v>90265.486725663723</v>
      </c>
      <c r="P34" s="401">
        <v>78121.170864533706</v>
      </c>
      <c r="Q34" s="401">
        <v>101837.98502382573</v>
      </c>
      <c r="R34" s="401">
        <v>154390.74200136148</v>
      </c>
      <c r="S34" s="401">
        <v>162042.20558202858</v>
      </c>
      <c r="T34" s="398" t="s">
        <v>103</v>
      </c>
      <c r="U34" s="136"/>
      <c r="V34" s="136"/>
      <c r="W34" s="136"/>
      <c r="X34" s="136"/>
      <c r="Y34" s="136"/>
      <c r="Z34" s="136"/>
      <c r="AA34" s="136"/>
      <c r="AB34" s="136"/>
      <c r="AC34" s="136"/>
      <c r="AD34" s="136"/>
      <c r="AE34" s="136"/>
      <c r="AF34" s="136"/>
      <c r="AG34" s="136"/>
      <c r="AH34" s="136"/>
      <c r="AI34" s="136"/>
      <c r="AJ34" s="136"/>
      <c r="AK34" s="171"/>
      <c r="AL34" s="171"/>
      <c r="AM34" s="171"/>
      <c r="AN34" s="171"/>
      <c r="AO34" s="171"/>
      <c r="AP34" s="171"/>
    </row>
    <row r="35" spans="2:42" ht="25.15" customHeight="1">
      <c r="B35" s="128" t="s">
        <v>38</v>
      </c>
      <c r="C35" s="127" t="s">
        <v>105</v>
      </c>
      <c r="D35" s="306">
        <v>270714.77195371001</v>
      </c>
      <c r="E35" s="306">
        <v>285336.96392103471</v>
      </c>
      <c r="F35" s="306">
        <v>281535.73859768553</v>
      </c>
      <c r="G35" s="306">
        <v>306004.08441116405</v>
      </c>
      <c r="H35" s="306">
        <v>297228.17469305219</v>
      </c>
      <c r="I35" s="306">
        <v>347528.93124574539</v>
      </c>
      <c r="J35" s="306">
        <v>427991.83117767191</v>
      </c>
      <c r="K35" s="306">
        <v>481851.59972770594</v>
      </c>
      <c r="L35" s="305">
        <v>0</v>
      </c>
      <c r="M35" s="306">
        <v>0</v>
      </c>
      <c r="N35" s="306">
        <v>0</v>
      </c>
      <c r="O35" s="306">
        <v>0</v>
      </c>
      <c r="P35" s="306">
        <v>0</v>
      </c>
      <c r="Q35" s="306">
        <v>0</v>
      </c>
      <c r="R35" s="306">
        <v>0</v>
      </c>
      <c r="S35" s="306">
        <v>0</v>
      </c>
      <c r="T35" s="126" t="s">
        <v>121</v>
      </c>
      <c r="U35" s="136"/>
      <c r="V35" s="136"/>
      <c r="W35" s="136"/>
      <c r="X35" s="136"/>
      <c r="Y35" s="136"/>
      <c r="Z35" s="136"/>
      <c r="AA35" s="136"/>
      <c r="AB35" s="136"/>
      <c r="AC35" s="136"/>
      <c r="AD35" s="136"/>
      <c r="AE35" s="136"/>
      <c r="AF35" s="136"/>
      <c r="AG35" s="136"/>
      <c r="AH35" s="136"/>
      <c r="AI35" s="136"/>
      <c r="AJ35" s="136"/>
      <c r="AK35" s="171"/>
      <c r="AL35" s="171"/>
      <c r="AM35" s="171"/>
      <c r="AN35" s="171"/>
      <c r="AO35" s="171"/>
      <c r="AP35" s="171"/>
    </row>
    <row r="36" spans="2:42" ht="25.15" customHeight="1">
      <c r="B36" s="54" t="s">
        <v>39</v>
      </c>
      <c r="C36" s="129" t="s">
        <v>111</v>
      </c>
      <c r="D36" s="306">
        <v>186875.42545949627</v>
      </c>
      <c r="E36" s="306">
        <v>213533.01565690947</v>
      </c>
      <c r="F36" s="306">
        <v>209214.431586113</v>
      </c>
      <c r="G36" s="306">
        <v>217808.03267528932</v>
      </c>
      <c r="H36" s="306">
        <v>235362.9602614661</v>
      </c>
      <c r="I36" s="306">
        <v>271422.73655547993</v>
      </c>
      <c r="J36" s="306">
        <v>331082.36895847518</v>
      </c>
      <c r="K36" s="306">
        <v>376664.39754935331</v>
      </c>
      <c r="L36" s="305">
        <v>0</v>
      </c>
      <c r="M36" s="306">
        <v>0</v>
      </c>
      <c r="N36" s="306">
        <v>0</v>
      </c>
      <c r="O36" s="306">
        <v>0</v>
      </c>
      <c r="P36" s="306">
        <v>0</v>
      </c>
      <c r="Q36" s="306">
        <v>0</v>
      </c>
      <c r="R36" s="306">
        <v>0</v>
      </c>
      <c r="S36" s="306">
        <v>0</v>
      </c>
      <c r="T36" s="130" t="s">
        <v>122</v>
      </c>
      <c r="U36" s="136"/>
      <c r="V36" s="136"/>
      <c r="W36" s="136"/>
      <c r="X36" s="136"/>
      <c r="Y36" s="136"/>
      <c r="Z36" s="136"/>
      <c r="AA36" s="136"/>
      <c r="AB36" s="136"/>
      <c r="AC36" s="136"/>
      <c r="AD36" s="136"/>
      <c r="AE36" s="136"/>
      <c r="AF36" s="136"/>
      <c r="AG36" s="136"/>
      <c r="AH36" s="136"/>
      <c r="AI36" s="136"/>
      <c r="AJ36" s="136"/>
      <c r="AK36" s="171"/>
      <c r="AL36" s="171"/>
      <c r="AM36" s="171"/>
      <c r="AN36" s="171"/>
      <c r="AO36" s="171"/>
      <c r="AP36" s="171"/>
    </row>
    <row r="37" spans="2:42" ht="25.15" customHeight="1" thickBot="1">
      <c r="B37" s="20" t="s">
        <v>40</v>
      </c>
      <c r="C37" s="51" t="s">
        <v>106</v>
      </c>
      <c r="D37" s="307">
        <v>83839.346494213751</v>
      </c>
      <c r="E37" s="307">
        <v>71803.948264125254</v>
      </c>
      <c r="F37" s="307">
        <v>72321.307011572499</v>
      </c>
      <c r="G37" s="307">
        <v>88196.051735874746</v>
      </c>
      <c r="H37" s="307">
        <v>61865.214431586115</v>
      </c>
      <c r="I37" s="307">
        <v>76106.194690265489</v>
      </c>
      <c r="J37" s="307">
        <v>96909.462219196736</v>
      </c>
      <c r="K37" s="307">
        <v>105187.20217835263</v>
      </c>
      <c r="L37" s="384">
        <v>0</v>
      </c>
      <c r="M37" s="307">
        <v>0</v>
      </c>
      <c r="N37" s="307">
        <v>0</v>
      </c>
      <c r="O37" s="307">
        <v>0</v>
      </c>
      <c r="P37" s="307">
        <v>0</v>
      </c>
      <c r="Q37" s="307">
        <v>0</v>
      </c>
      <c r="R37" s="307">
        <v>0</v>
      </c>
      <c r="S37" s="307">
        <v>0</v>
      </c>
      <c r="T37" s="52" t="s">
        <v>104</v>
      </c>
      <c r="U37" s="136"/>
      <c r="V37" s="136"/>
      <c r="W37" s="136"/>
      <c r="X37" s="136"/>
      <c r="Y37" s="136"/>
      <c r="Z37" s="136"/>
      <c r="AA37" s="136"/>
      <c r="AB37" s="136"/>
      <c r="AC37" s="136"/>
      <c r="AD37" s="136"/>
      <c r="AE37" s="136"/>
      <c r="AF37" s="136"/>
      <c r="AG37" s="136"/>
      <c r="AH37" s="136"/>
      <c r="AI37" s="136"/>
      <c r="AJ37" s="136"/>
      <c r="AK37" s="171"/>
      <c r="AL37" s="171"/>
      <c r="AM37" s="171"/>
      <c r="AN37" s="171"/>
      <c r="AO37" s="171"/>
      <c r="AP37" s="171"/>
    </row>
    <row r="38" spans="2:42" ht="24.95" customHeight="1">
      <c r="B38" s="534" t="s">
        <v>326</v>
      </c>
      <c r="C38" s="534"/>
      <c r="D38" s="31"/>
      <c r="E38" s="31"/>
      <c r="F38" s="31"/>
      <c r="G38" s="31"/>
      <c r="H38" s="31"/>
      <c r="I38" s="31"/>
      <c r="J38" s="31"/>
      <c r="K38" s="31"/>
      <c r="L38" s="31"/>
      <c r="M38" s="31"/>
      <c r="N38" s="31"/>
      <c r="O38" s="31"/>
      <c r="P38" s="31"/>
      <c r="Q38" s="31"/>
      <c r="S38" s="13"/>
      <c r="T38" s="313" t="s">
        <v>327</v>
      </c>
    </row>
    <row r="39" spans="2:42" s="2" customFormat="1" ht="24.95" customHeight="1">
      <c r="B39" s="535" t="s">
        <v>399</v>
      </c>
      <c r="C39" s="535"/>
      <c r="D39" s="11"/>
      <c r="E39" s="11"/>
      <c r="F39" s="12"/>
      <c r="G39" s="12"/>
      <c r="H39" s="22"/>
      <c r="I39" s="22"/>
      <c r="J39" s="22"/>
      <c r="K39" s="22"/>
      <c r="L39" s="22"/>
      <c r="M39" s="22"/>
      <c r="N39" s="177"/>
      <c r="O39" s="177"/>
      <c r="P39" s="177"/>
      <c r="Q39" s="177"/>
      <c r="S39" s="91"/>
      <c r="T39" s="313" t="s">
        <v>193</v>
      </c>
      <c r="U39" s="91"/>
      <c r="V39" s="91"/>
      <c r="W39" s="91"/>
      <c r="X39" s="91"/>
      <c r="Y39" s="91"/>
      <c r="Z39" s="91"/>
      <c r="AA39" s="91"/>
      <c r="AB39" s="91"/>
      <c r="AC39" s="29"/>
    </row>
    <row r="40" spans="2:42" ht="24.95" customHeight="1">
      <c r="B40" s="81" t="s">
        <v>192</v>
      </c>
      <c r="C40" s="81"/>
      <c r="D40" s="78"/>
      <c r="E40" s="78"/>
      <c r="F40" s="79"/>
      <c r="G40" s="80"/>
      <c r="K40" s="100"/>
      <c r="L40" s="100"/>
      <c r="M40" s="100"/>
      <c r="N40" s="100"/>
      <c r="O40" s="100"/>
      <c r="P40" s="100"/>
      <c r="Q40" s="100"/>
      <c r="S40" s="80"/>
      <c r="T40" s="81" t="s">
        <v>551</v>
      </c>
      <c r="U40" s="99"/>
      <c r="V40" s="99"/>
    </row>
    <row r="41" spans="2:42">
      <c r="D41" s="297"/>
      <c r="E41" s="297"/>
      <c r="F41" s="297"/>
      <c r="G41" s="297"/>
      <c r="H41" s="297"/>
      <c r="I41" s="297"/>
      <c r="J41" s="297"/>
      <c r="K41" s="297"/>
    </row>
  </sheetData>
  <mergeCells count="19">
    <mergeCell ref="B18:C18"/>
    <mergeCell ref="B19:C19"/>
    <mergeCell ref="B38:C38"/>
    <mergeCell ref="B39:C39"/>
    <mergeCell ref="B22:T22"/>
    <mergeCell ref="B23:T23"/>
    <mergeCell ref="B25:B26"/>
    <mergeCell ref="C25:C26"/>
    <mergeCell ref="T25:T26"/>
    <mergeCell ref="D25:K25"/>
    <mergeCell ref="L25:S25"/>
    <mergeCell ref="B1:N1"/>
    <mergeCell ref="B2:T2"/>
    <mergeCell ref="B3:T3"/>
    <mergeCell ref="B5:B6"/>
    <mergeCell ref="C5:C6"/>
    <mergeCell ref="T5:T6"/>
    <mergeCell ref="D5:K5"/>
    <mergeCell ref="L5:S5"/>
  </mergeCells>
  <pageMargins left="0.70866141732283472" right="0.70866141732283472" top="0.74803149606299213" bottom="0.74803149606299213" header="0.31496062992125984" footer="0.31496062992125984"/>
  <pageSetup paperSize="9" scale="25" orientation="portrait" verticalDpi="4294967293" r:id="rId1"/>
  <rowBreaks count="1" manualBreakCount="1">
    <brk id="20" max="2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7B3F-DD96-491E-A82E-8626FC0C8A17}">
  <dimension ref="B1:AN36"/>
  <sheetViews>
    <sheetView showGridLines="0" rightToLeft="1" zoomScale="85" zoomScaleNormal="40" zoomScaleSheetLayoutView="100" workbookViewId="0"/>
  </sheetViews>
  <sheetFormatPr defaultColWidth="9.28515625" defaultRowHeight="12.75"/>
  <cols>
    <col min="1" max="1" width="15.7109375" style="1" customWidth="1"/>
    <col min="2" max="2" width="8.42578125" style="8" customWidth="1"/>
    <col min="3" max="3" width="20.7109375" style="1" customWidth="1"/>
    <col min="4" max="4" width="12.28515625" style="1" customWidth="1"/>
    <col min="5" max="5" width="9.7109375" style="8" customWidth="1"/>
    <col min="6" max="10" width="10.7109375" style="8" customWidth="1"/>
    <col min="11" max="11" width="9.5703125" style="8" customWidth="1"/>
    <col min="12" max="12" width="10.28515625" style="8" customWidth="1"/>
    <col min="13" max="17" width="10" style="8" customWidth="1"/>
    <col min="18" max="18" width="27" style="8" customWidth="1"/>
    <col min="19" max="19" width="10.42578125" style="1" bestFit="1" customWidth="1"/>
    <col min="20" max="20" width="10.7109375" style="1" bestFit="1" customWidth="1"/>
    <col min="21" max="22" width="9.28515625" style="1"/>
    <col min="23" max="23" width="10.7109375" style="1" bestFit="1" customWidth="1"/>
    <col min="24" max="24" width="9.28515625" style="1"/>
    <col min="25" max="25" width="11.5703125" style="1" bestFit="1" customWidth="1"/>
    <col min="26" max="34" width="10.85546875" style="1" bestFit="1" customWidth="1"/>
    <col min="35" max="35" width="9.28515625" style="1" bestFit="1" customWidth="1"/>
    <col min="36" max="40" width="10.85546875" style="1" bestFit="1" customWidth="1"/>
    <col min="41" max="16384" width="9.28515625" style="1"/>
  </cols>
  <sheetData>
    <row r="1" spans="2:25" ht="50.1" customHeight="1">
      <c r="B1" s="542"/>
      <c r="C1" s="542"/>
      <c r="D1" s="542"/>
      <c r="E1" s="542"/>
      <c r="F1" s="542"/>
      <c r="G1" s="542"/>
      <c r="H1" s="542"/>
      <c r="I1" s="542"/>
      <c r="J1" s="542"/>
      <c r="K1" s="542"/>
      <c r="L1" s="542"/>
      <c r="M1" s="542"/>
      <c r="N1" s="30"/>
      <c r="O1" s="30"/>
      <c r="P1" s="30"/>
      <c r="Q1" s="30"/>
    </row>
    <row r="2" spans="2:25" ht="25.15" customHeight="1">
      <c r="B2" s="543" t="s">
        <v>439</v>
      </c>
      <c r="C2" s="543"/>
      <c r="D2" s="543"/>
      <c r="E2" s="543"/>
      <c r="F2" s="543"/>
      <c r="G2" s="543"/>
      <c r="H2" s="543"/>
      <c r="I2" s="543"/>
      <c r="J2" s="543"/>
      <c r="K2" s="543"/>
      <c r="L2" s="543"/>
      <c r="M2" s="543"/>
      <c r="N2" s="543"/>
      <c r="O2" s="543"/>
      <c r="P2" s="543"/>
      <c r="Q2" s="543"/>
      <c r="R2" s="543"/>
    </row>
    <row r="3" spans="2:25" ht="25.15" customHeight="1">
      <c r="B3" s="544" t="s">
        <v>426</v>
      </c>
      <c r="C3" s="544"/>
      <c r="D3" s="544"/>
      <c r="E3" s="544"/>
      <c r="F3" s="544"/>
      <c r="G3" s="544"/>
      <c r="H3" s="544"/>
      <c r="I3" s="544"/>
      <c r="J3" s="544"/>
      <c r="K3" s="544"/>
      <c r="L3" s="544"/>
      <c r="M3" s="544"/>
      <c r="N3" s="544"/>
      <c r="O3" s="544"/>
      <c r="P3" s="544"/>
      <c r="Q3" s="544"/>
      <c r="R3" s="544"/>
    </row>
    <row r="4" spans="2:25" ht="25.15" customHeight="1">
      <c r="B4" s="292"/>
      <c r="C4" s="292"/>
      <c r="D4" s="292"/>
      <c r="E4" s="292"/>
      <c r="F4" s="292"/>
      <c r="G4" s="292"/>
      <c r="H4" s="292"/>
      <c r="I4" s="292"/>
      <c r="J4" s="292"/>
      <c r="K4" s="292"/>
      <c r="L4" s="292"/>
      <c r="M4" s="292"/>
      <c r="N4" s="292"/>
      <c r="O4" s="292"/>
      <c r="P4" s="292"/>
      <c r="Q4" s="292"/>
      <c r="R4" s="64" t="s">
        <v>369</v>
      </c>
    </row>
    <row r="5" spans="2:25" ht="25.15" customHeight="1">
      <c r="B5" s="545" t="s">
        <v>23</v>
      </c>
      <c r="C5" s="546" t="s">
        <v>24</v>
      </c>
      <c r="D5" s="545" t="s">
        <v>25</v>
      </c>
      <c r="E5" s="545"/>
      <c r="F5" s="545"/>
      <c r="G5" s="545"/>
      <c r="H5" s="545"/>
      <c r="I5" s="545"/>
      <c r="J5" s="545"/>
      <c r="K5" s="545" t="s">
        <v>26</v>
      </c>
      <c r="L5" s="545"/>
      <c r="M5" s="545"/>
      <c r="N5" s="545"/>
      <c r="O5" s="545"/>
      <c r="P5" s="545"/>
      <c r="Q5" s="545"/>
      <c r="R5" s="545" t="s">
        <v>27</v>
      </c>
    </row>
    <row r="6" spans="2:25" ht="25.15" customHeight="1">
      <c r="B6" s="545"/>
      <c r="C6" s="546"/>
      <c r="D6" s="49">
        <v>2010</v>
      </c>
      <c r="E6" s="49">
        <v>2011</v>
      </c>
      <c r="F6" s="49">
        <v>2012</v>
      </c>
      <c r="G6" s="49">
        <v>2013</v>
      </c>
      <c r="H6" s="49">
        <v>2014</v>
      </c>
      <c r="I6" s="49">
        <v>2015</v>
      </c>
      <c r="J6" s="49">
        <v>2016</v>
      </c>
      <c r="K6" s="49">
        <v>2010</v>
      </c>
      <c r="L6" s="49">
        <v>2011</v>
      </c>
      <c r="M6" s="49">
        <v>2012</v>
      </c>
      <c r="N6" s="49">
        <v>2013</v>
      </c>
      <c r="O6" s="49">
        <v>2014</v>
      </c>
      <c r="P6" s="49">
        <v>2015</v>
      </c>
      <c r="Q6" s="49">
        <v>2016</v>
      </c>
      <c r="R6" s="545"/>
    </row>
    <row r="7" spans="2:25" ht="25.15" customHeight="1">
      <c r="B7" s="54" t="s">
        <v>28</v>
      </c>
      <c r="C7" s="55" t="s">
        <v>174</v>
      </c>
      <c r="D7" s="306">
        <v>1870462.5005891486</v>
      </c>
      <c r="E7" s="306">
        <v>2254679.7625698028</v>
      </c>
      <c r="F7" s="306">
        <v>2365303.4639939792</v>
      </c>
      <c r="G7" s="306">
        <v>2409298.2606024966</v>
      </c>
      <c r="H7" s="306">
        <v>2507691.8654110609</v>
      </c>
      <c r="I7" s="306">
        <v>2359528.4546352997</v>
      </c>
      <c r="J7" s="306">
        <v>2370054.1867830195</v>
      </c>
      <c r="K7" s="383" t="s">
        <v>116</v>
      </c>
      <c r="L7" s="306" t="s">
        <v>116</v>
      </c>
      <c r="M7" s="306" t="s">
        <v>116</v>
      </c>
      <c r="N7" s="306" t="s">
        <v>116</v>
      </c>
      <c r="O7" s="306" t="s">
        <v>116</v>
      </c>
      <c r="P7" s="306" t="s">
        <v>116</v>
      </c>
      <c r="Q7" s="306" t="s">
        <v>116</v>
      </c>
      <c r="R7" s="126" t="s">
        <v>30</v>
      </c>
      <c r="S7" s="136"/>
      <c r="T7" s="136"/>
      <c r="U7" s="136"/>
      <c r="V7" s="136"/>
      <c r="W7" s="136"/>
      <c r="X7" s="136"/>
      <c r="Y7" s="136"/>
    </row>
    <row r="8" spans="2:25" ht="25.15" customHeight="1">
      <c r="B8" s="54" t="s">
        <v>31</v>
      </c>
      <c r="C8" s="127" t="s">
        <v>32</v>
      </c>
      <c r="D8" s="132" t="s">
        <v>116</v>
      </c>
      <c r="E8" s="132" t="s">
        <v>116</v>
      </c>
      <c r="F8" s="132" t="s">
        <v>116</v>
      </c>
      <c r="G8" s="132" t="s">
        <v>116</v>
      </c>
      <c r="H8" s="132" t="s">
        <v>116</v>
      </c>
      <c r="I8" s="132" t="s">
        <v>116</v>
      </c>
      <c r="J8" s="132" t="s">
        <v>116</v>
      </c>
      <c r="K8" s="385">
        <v>768018.20457032882</v>
      </c>
      <c r="L8" s="386">
        <v>929521.52654162829</v>
      </c>
      <c r="M8" s="386">
        <v>952822.77852111578</v>
      </c>
      <c r="N8" s="386">
        <v>939495.71010445128</v>
      </c>
      <c r="O8" s="386">
        <v>986889.90598896146</v>
      </c>
      <c r="P8" s="386">
        <v>999691.79267559189</v>
      </c>
      <c r="Q8" s="386">
        <v>1013964.0011821461</v>
      </c>
      <c r="R8" s="126" t="s">
        <v>119</v>
      </c>
      <c r="S8" s="9"/>
      <c r="U8" s="136"/>
      <c r="V8" s="136"/>
      <c r="W8" s="9"/>
    </row>
    <row r="9" spans="2:25" ht="25.15" customHeight="1">
      <c r="B9" s="128" t="s">
        <v>33</v>
      </c>
      <c r="C9" s="127" t="s">
        <v>194</v>
      </c>
      <c r="D9" s="132" t="s">
        <v>116</v>
      </c>
      <c r="E9" s="132" t="s">
        <v>116</v>
      </c>
      <c r="F9" s="132" t="s">
        <v>116</v>
      </c>
      <c r="G9" s="132" t="s">
        <v>116</v>
      </c>
      <c r="H9" s="132" t="s">
        <v>116</v>
      </c>
      <c r="I9" s="132" t="s">
        <v>116</v>
      </c>
      <c r="J9" s="132" t="s">
        <v>116</v>
      </c>
      <c r="K9" s="385">
        <v>106755.07947253661</v>
      </c>
      <c r="L9" s="386">
        <v>128180.87815725291</v>
      </c>
      <c r="M9" s="386">
        <v>133860.1</v>
      </c>
      <c r="N9" s="386">
        <v>157370.60302729689</v>
      </c>
      <c r="O9" s="386">
        <v>161848.5477091035</v>
      </c>
      <c r="P9" s="386">
        <v>163467</v>
      </c>
      <c r="Q9" s="386">
        <v>164253.62012149169</v>
      </c>
      <c r="R9" s="126" t="s">
        <v>196</v>
      </c>
      <c r="S9" s="9"/>
      <c r="T9" s="9"/>
      <c r="U9" s="136"/>
      <c r="V9" s="136"/>
    </row>
    <row r="10" spans="2:25" ht="25.15" customHeight="1">
      <c r="B10" s="128" t="s">
        <v>33</v>
      </c>
      <c r="C10" s="127" t="s">
        <v>180</v>
      </c>
      <c r="D10" s="132" t="s">
        <v>116</v>
      </c>
      <c r="E10" s="132" t="s">
        <v>116</v>
      </c>
      <c r="F10" s="132" t="s">
        <v>116</v>
      </c>
      <c r="G10" s="132" t="s">
        <v>116</v>
      </c>
      <c r="H10" s="132" t="s">
        <v>116</v>
      </c>
      <c r="I10" s="132" t="s">
        <v>116</v>
      </c>
      <c r="J10" s="132" t="s">
        <v>116</v>
      </c>
      <c r="K10" s="385">
        <v>449542.50855559355</v>
      </c>
      <c r="L10" s="386">
        <v>494497.87507507287</v>
      </c>
      <c r="M10" s="386">
        <v>442160.30217134347</v>
      </c>
      <c r="N10" s="386">
        <v>481219.03658935998</v>
      </c>
      <c r="O10" s="386">
        <v>545045.35928255203</v>
      </c>
      <c r="P10" s="386">
        <v>563959.37216015998</v>
      </c>
      <c r="Q10" s="386">
        <v>568238.06554614799</v>
      </c>
      <c r="R10" s="126" t="s">
        <v>195</v>
      </c>
      <c r="S10" s="9"/>
      <c r="T10" s="9"/>
      <c r="U10" s="136"/>
      <c r="V10" s="136"/>
    </row>
    <row r="11" spans="2:25" ht="25.15" customHeight="1">
      <c r="B11" s="54" t="s">
        <v>330</v>
      </c>
      <c r="C11" s="127" t="s">
        <v>110</v>
      </c>
      <c r="D11" s="132" t="s">
        <v>116</v>
      </c>
      <c r="E11" s="132" t="s">
        <v>116</v>
      </c>
      <c r="F11" s="132" t="s">
        <v>116</v>
      </c>
      <c r="G11" s="132" t="s">
        <v>116</v>
      </c>
      <c r="H11" s="132" t="s">
        <v>116</v>
      </c>
      <c r="I11" s="132" t="s">
        <v>116</v>
      </c>
      <c r="J11" s="132" t="s">
        <v>116</v>
      </c>
      <c r="K11" s="240">
        <v>326834.70799068944</v>
      </c>
      <c r="L11" s="85">
        <v>335615.4827958477</v>
      </c>
      <c r="M11" s="85">
        <v>337862.28330151906</v>
      </c>
      <c r="N11" s="85">
        <v>318035.91088138858</v>
      </c>
      <c r="O11" s="85">
        <v>345234.05243044364</v>
      </c>
      <c r="P11" s="85">
        <v>303610.2897995481</v>
      </c>
      <c r="Q11" s="85">
        <v>293398.49993323284</v>
      </c>
      <c r="R11" s="126" t="s">
        <v>306</v>
      </c>
      <c r="S11" s="9"/>
      <c r="T11" s="9"/>
      <c r="U11" s="9"/>
      <c r="V11" s="9"/>
      <c r="W11" s="9"/>
    </row>
    <row r="12" spans="2:25" ht="25.15" customHeight="1">
      <c r="B12" s="387" t="s">
        <v>34</v>
      </c>
      <c r="C12" s="388" t="s">
        <v>109</v>
      </c>
      <c r="D12" s="389" t="s">
        <v>116</v>
      </c>
      <c r="E12" s="389" t="s">
        <v>116</v>
      </c>
      <c r="F12" s="389" t="s">
        <v>116</v>
      </c>
      <c r="G12" s="389" t="s">
        <v>116</v>
      </c>
      <c r="H12" s="389" t="s">
        <v>116</v>
      </c>
      <c r="I12" s="389" t="s">
        <v>116</v>
      </c>
      <c r="J12" s="389" t="s">
        <v>116</v>
      </c>
      <c r="K12" s="390">
        <v>875260</v>
      </c>
      <c r="L12" s="391">
        <v>1160025</v>
      </c>
      <c r="M12" s="391">
        <v>1379075</v>
      </c>
      <c r="N12" s="391">
        <v>1440518</v>
      </c>
      <c r="O12" s="391">
        <v>1479019</v>
      </c>
      <c r="P12" s="391">
        <v>1316700</v>
      </c>
      <c r="Q12" s="391">
        <v>1324400</v>
      </c>
      <c r="R12" s="392" t="s">
        <v>35</v>
      </c>
      <c r="S12" s="9"/>
      <c r="T12" s="9"/>
      <c r="U12" s="9"/>
      <c r="V12" s="9"/>
      <c r="W12" s="9"/>
    </row>
    <row r="13" spans="2:25" ht="25.15" customHeight="1">
      <c r="B13" s="54" t="s">
        <v>36</v>
      </c>
      <c r="C13" s="129" t="s">
        <v>108</v>
      </c>
      <c r="D13" s="132" t="s">
        <v>116</v>
      </c>
      <c r="E13" s="132" t="s">
        <v>116</v>
      </c>
      <c r="F13" s="132" t="s">
        <v>116</v>
      </c>
      <c r="G13" s="132" t="s">
        <v>116</v>
      </c>
      <c r="H13" s="132" t="s">
        <v>116</v>
      </c>
      <c r="I13" s="132" t="s">
        <v>116</v>
      </c>
      <c r="J13" s="132" t="s">
        <v>116</v>
      </c>
      <c r="K13" s="240">
        <v>832160</v>
      </c>
      <c r="L13" s="85">
        <v>1113025</v>
      </c>
      <c r="M13" s="85">
        <v>1323735</v>
      </c>
      <c r="N13" s="85">
        <v>1362518</v>
      </c>
      <c r="O13" s="85">
        <v>1391519</v>
      </c>
      <c r="P13" s="85">
        <v>1093500</v>
      </c>
      <c r="Q13" s="85">
        <v>1083500</v>
      </c>
      <c r="R13" s="130" t="s">
        <v>120</v>
      </c>
      <c r="U13" s="136"/>
      <c r="V13" s="136"/>
    </row>
    <row r="14" spans="2:25" ht="25.15" customHeight="1">
      <c r="B14" s="393" t="s">
        <v>37</v>
      </c>
      <c r="C14" s="394" t="s">
        <v>107</v>
      </c>
      <c r="D14" s="395" t="s">
        <v>116</v>
      </c>
      <c r="E14" s="395" t="s">
        <v>116</v>
      </c>
      <c r="F14" s="395" t="s">
        <v>116</v>
      </c>
      <c r="G14" s="395" t="s">
        <v>116</v>
      </c>
      <c r="H14" s="395" t="s">
        <v>116</v>
      </c>
      <c r="I14" s="395" t="s">
        <v>116</v>
      </c>
      <c r="J14" s="395" t="s">
        <v>116</v>
      </c>
      <c r="K14" s="396">
        <v>43100</v>
      </c>
      <c r="L14" s="397">
        <v>47000</v>
      </c>
      <c r="M14" s="397">
        <v>55340</v>
      </c>
      <c r="N14" s="397">
        <v>78000</v>
      </c>
      <c r="O14" s="397">
        <v>87500</v>
      </c>
      <c r="P14" s="397">
        <v>223200</v>
      </c>
      <c r="Q14" s="397">
        <v>240900</v>
      </c>
      <c r="R14" s="398" t="s">
        <v>103</v>
      </c>
      <c r="U14" s="136"/>
      <c r="V14" s="136"/>
    </row>
    <row r="15" spans="2:25" ht="25.15" customHeight="1">
      <c r="B15" s="128" t="s">
        <v>38</v>
      </c>
      <c r="C15" s="127" t="s">
        <v>105</v>
      </c>
      <c r="D15" s="294">
        <v>655948</v>
      </c>
      <c r="E15" s="294">
        <v>793161</v>
      </c>
      <c r="F15" s="294">
        <v>880477</v>
      </c>
      <c r="G15" s="294">
        <v>927341</v>
      </c>
      <c r="H15" s="294">
        <v>1010345</v>
      </c>
      <c r="I15" s="294">
        <v>987900</v>
      </c>
      <c r="J15" s="294">
        <v>994200</v>
      </c>
      <c r="K15" s="240" t="s">
        <v>116</v>
      </c>
      <c r="L15" s="85" t="s">
        <v>116</v>
      </c>
      <c r="M15" s="85" t="s">
        <v>116</v>
      </c>
      <c r="N15" s="85" t="s">
        <v>116</v>
      </c>
      <c r="O15" s="85" t="s">
        <v>116</v>
      </c>
      <c r="P15" s="85" t="s">
        <v>116</v>
      </c>
      <c r="Q15" s="85" t="s">
        <v>116</v>
      </c>
      <c r="R15" s="126" t="s">
        <v>121</v>
      </c>
      <c r="S15" s="9"/>
      <c r="T15" s="9"/>
      <c r="U15" s="9"/>
      <c r="V15" s="9"/>
      <c r="W15" s="9"/>
      <c r="X15" s="9"/>
      <c r="Y15" s="9"/>
    </row>
    <row r="16" spans="2:25" ht="25.15" customHeight="1">
      <c r="B16" s="54" t="s">
        <v>39</v>
      </c>
      <c r="C16" s="129" t="s">
        <v>111</v>
      </c>
      <c r="D16" s="294">
        <v>501337</v>
      </c>
      <c r="E16" s="294">
        <v>585397</v>
      </c>
      <c r="F16" s="294">
        <v>648567</v>
      </c>
      <c r="G16" s="294">
        <v>698941</v>
      </c>
      <c r="H16" s="294">
        <v>772145</v>
      </c>
      <c r="I16" s="294">
        <v>687200</v>
      </c>
      <c r="J16" s="294">
        <v>686300</v>
      </c>
      <c r="K16" s="240" t="s">
        <v>116</v>
      </c>
      <c r="L16" s="85" t="s">
        <v>116</v>
      </c>
      <c r="M16" s="85" t="s">
        <v>116</v>
      </c>
      <c r="N16" s="85" t="s">
        <v>116</v>
      </c>
      <c r="O16" s="85" t="s">
        <v>116</v>
      </c>
      <c r="P16" s="85" t="s">
        <v>116</v>
      </c>
      <c r="Q16" s="85" t="s">
        <v>116</v>
      </c>
      <c r="R16" s="130" t="s">
        <v>122</v>
      </c>
      <c r="S16" s="9"/>
      <c r="T16" s="9"/>
      <c r="U16" s="9"/>
      <c r="V16" s="9"/>
      <c r="W16" s="9"/>
      <c r="X16" s="9"/>
      <c r="Y16" s="9"/>
    </row>
    <row r="17" spans="2:40" ht="25.15" customHeight="1" thickBot="1">
      <c r="B17" s="20" t="s">
        <v>40</v>
      </c>
      <c r="C17" s="51" t="s">
        <v>106</v>
      </c>
      <c r="D17" s="295">
        <v>154611</v>
      </c>
      <c r="E17" s="295">
        <v>207764</v>
      </c>
      <c r="F17" s="295">
        <v>231910</v>
      </c>
      <c r="G17" s="295">
        <v>228400</v>
      </c>
      <c r="H17" s="295">
        <v>238200</v>
      </c>
      <c r="I17" s="295">
        <v>300700</v>
      </c>
      <c r="J17" s="295">
        <v>307900</v>
      </c>
      <c r="K17" s="241" t="s">
        <v>116</v>
      </c>
      <c r="L17" s="98" t="s">
        <v>116</v>
      </c>
      <c r="M17" s="98" t="s">
        <v>116</v>
      </c>
      <c r="N17" s="98" t="s">
        <v>116</v>
      </c>
      <c r="O17" s="98" t="s">
        <v>116</v>
      </c>
      <c r="P17" s="98" t="s">
        <v>116</v>
      </c>
      <c r="Q17" s="98" t="s">
        <v>116</v>
      </c>
      <c r="R17" s="52" t="s">
        <v>104</v>
      </c>
      <c r="S17" s="9"/>
      <c r="T17" s="9"/>
      <c r="U17" s="9"/>
      <c r="V17" s="9"/>
      <c r="W17" s="9"/>
      <c r="X17" s="9"/>
      <c r="Y17" s="9"/>
    </row>
    <row r="18" spans="2:40" ht="25.15" customHeight="1">
      <c r="B18" s="81" t="s">
        <v>192</v>
      </c>
      <c r="C18" s="81"/>
      <c r="D18" s="78"/>
      <c r="E18" s="78"/>
      <c r="F18" s="79"/>
      <c r="G18" s="80"/>
      <c r="K18" s="100"/>
      <c r="L18" s="100"/>
      <c r="M18" s="100"/>
      <c r="N18" s="100"/>
      <c r="O18" s="100"/>
      <c r="P18" s="100"/>
      <c r="Q18" s="100"/>
      <c r="R18" s="81" t="s">
        <v>551</v>
      </c>
      <c r="S18" s="80"/>
    </row>
    <row r="19" spans="2:40" ht="24.95" customHeight="1">
      <c r="B19" s="7"/>
      <c r="C19" s="19"/>
      <c r="D19" s="297"/>
      <c r="E19" s="297"/>
      <c r="F19" s="297"/>
      <c r="G19" s="297"/>
      <c r="H19" s="297"/>
      <c r="I19" s="297"/>
      <c r="J19" s="297"/>
      <c r="K19" s="7"/>
      <c r="L19" s="7"/>
      <c r="M19" s="7"/>
      <c r="N19" s="7"/>
      <c r="O19" s="7"/>
      <c r="P19" s="7"/>
      <c r="Q19" s="7"/>
    </row>
    <row r="20" spans="2:40" ht="25.15" customHeight="1">
      <c r="B20" s="543" t="s">
        <v>437</v>
      </c>
      <c r="C20" s="543"/>
      <c r="D20" s="543"/>
      <c r="E20" s="543"/>
      <c r="F20" s="543"/>
      <c r="G20" s="543"/>
      <c r="H20" s="543"/>
      <c r="I20" s="543"/>
      <c r="J20" s="543"/>
      <c r="K20" s="543"/>
      <c r="L20" s="543"/>
      <c r="M20" s="543"/>
      <c r="N20" s="543"/>
      <c r="O20" s="543"/>
      <c r="P20" s="543"/>
      <c r="Q20" s="543"/>
      <c r="R20" s="543"/>
    </row>
    <row r="21" spans="2:40" ht="25.15" customHeight="1">
      <c r="B21" s="544" t="s">
        <v>427</v>
      </c>
      <c r="C21" s="544"/>
      <c r="D21" s="544"/>
      <c r="E21" s="544"/>
      <c r="F21" s="544"/>
      <c r="G21" s="544"/>
      <c r="H21" s="544"/>
      <c r="I21" s="544"/>
      <c r="J21" s="544"/>
      <c r="K21" s="544"/>
      <c r="L21" s="544"/>
      <c r="M21" s="544"/>
      <c r="N21" s="544"/>
      <c r="O21" s="544"/>
      <c r="P21" s="544"/>
      <c r="Q21" s="544"/>
      <c r="R21" s="544"/>
    </row>
    <row r="22" spans="2:40" ht="25.15" customHeight="1">
      <c r="B22" s="292"/>
      <c r="C22" s="292"/>
      <c r="D22" s="292"/>
      <c r="E22" s="292"/>
      <c r="F22" s="292"/>
      <c r="G22" s="292"/>
      <c r="H22" s="292"/>
      <c r="I22" s="292"/>
      <c r="J22" s="292"/>
      <c r="K22" s="292"/>
      <c r="L22" s="292"/>
      <c r="M22" s="292"/>
      <c r="N22" s="292"/>
      <c r="O22" s="292"/>
      <c r="P22" s="292"/>
      <c r="Q22" s="292"/>
      <c r="R22" s="211" t="s">
        <v>438</v>
      </c>
    </row>
    <row r="23" spans="2:40" ht="25.15" customHeight="1">
      <c r="B23" s="545" t="s">
        <v>23</v>
      </c>
      <c r="C23" s="546" t="s">
        <v>24</v>
      </c>
      <c r="D23" s="545" t="s">
        <v>25</v>
      </c>
      <c r="E23" s="545"/>
      <c r="F23" s="545"/>
      <c r="G23" s="545"/>
      <c r="H23" s="545"/>
      <c r="I23" s="545"/>
      <c r="J23" s="545"/>
      <c r="K23" s="545" t="s">
        <v>26</v>
      </c>
      <c r="L23" s="545"/>
      <c r="M23" s="545"/>
      <c r="N23" s="545"/>
      <c r="O23" s="545"/>
      <c r="P23" s="545"/>
      <c r="Q23" s="545"/>
      <c r="R23" s="545" t="s">
        <v>27</v>
      </c>
    </row>
    <row r="24" spans="2:40" ht="25.15" customHeight="1">
      <c r="B24" s="545"/>
      <c r="C24" s="546"/>
      <c r="D24" s="49">
        <v>2010</v>
      </c>
      <c r="E24" s="49">
        <v>2011</v>
      </c>
      <c r="F24" s="49">
        <v>2012</v>
      </c>
      <c r="G24" s="49">
        <v>2013</v>
      </c>
      <c r="H24" s="49">
        <v>2014</v>
      </c>
      <c r="I24" s="49">
        <v>2015</v>
      </c>
      <c r="J24" s="49">
        <v>2016</v>
      </c>
      <c r="K24" s="49">
        <v>2010</v>
      </c>
      <c r="L24" s="49">
        <v>2011</v>
      </c>
      <c r="M24" s="49">
        <v>2012</v>
      </c>
      <c r="N24" s="49">
        <v>2013</v>
      </c>
      <c r="O24" s="49">
        <v>2014</v>
      </c>
      <c r="P24" s="49">
        <v>2015</v>
      </c>
      <c r="Q24" s="49">
        <v>2016</v>
      </c>
      <c r="R24" s="545"/>
    </row>
    <row r="25" spans="2:40" ht="25.15" customHeight="1">
      <c r="B25" s="54" t="s">
        <v>28</v>
      </c>
      <c r="C25" s="55" t="s">
        <v>29</v>
      </c>
      <c r="D25" s="382">
        <v>509315.86129044212</v>
      </c>
      <c r="E25" s="382">
        <v>613935.94624092663</v>
      </c>
      <c r="F25" s="382">
        <v>644058.12498134223</v>
      </c>
      <c r="G25" s="382">
        <v>656037.64754322579</v>
      </c>
      <c r="H25" s="382">
        <v>682829.64340668777</v>
      </c>
      <c r="I25" s="382">
        <v>642485.62413486722</v>
      </c>
      <c r="J25" s="382">
        <v>645351.7186611353</v>
      </c>
      <c r="K25" s="383" t="s">
        <v>116</v>
      </c>
      <c r="L25" s="382" t="s">
        <v>116</v>
      </c>
      <c r="M25" s="382" t="s">
        <v>116</v>
      </c>
      <c r="N25" s="382" t="s">
        <v>116</v>
      </c>
      <c r="O25" s="382" t="s">
        <v>116</v>
      </c>
      <c r="P25" s="382" t="s">
        <v>116</v>
      </c>
      <c r="Q25" s="382" t="s">
        <v>116</v>
      </c>
      <c r="R25" s="126" t="s">
        <v>30</v>
      </c>
      <c r="S25" s="136"/>
      <c r="T25" s="136"/>
      <c r="U25" s="136"/>
      <c r="V25" s="136"/>
      <c r="W25" s="136"/>
      <c r="X25" s="136"/>
      <c r="Y25" s="136"/>
      <c r="Z25" s="136"/>
      <c r="AA25" s="136"/>
      <c r="AB25" s="136"/>
      <c r="AC25" s="136"/>
      <c r="AD25" s="136"/>
      <c r="AE25" s="136"/>
      <c r="AF25" s="136"/>
      <c r="AG25" s="171"/>
      <c r="AH25" s="171"/>
      <c r="AI25" s="171"/>
      <c r="AJ25" s="171"/>
      <c r="AK25" s="171"/>
      <c r="AL25" s="171"/>
      <c r="AM25" s="171"/>
      <c r="AN25" s="171"/>
    </row>
    <row r="26" spans="2:40" ht="25.15" customHeight="1">
      <c r="B26" s="54" t="s">
        <v>31</v>
      </c>
      <c r="C26" s="127" t="s">
        <v>32</v>
      </c>
      <c r="D26" s="306" t="s">
        <v>116</v>
      </c>
      <c r="E26" s="306" t="s">
        <v>116</v>
      </c>
      <c r="F26" s="306" t="s">
        <v>116</v>
      </c>
      <c r="G26" s="306" t="s">
        <v>116</v>
      </c>
      <c r="H26" s="306" t="s">
        <v>116</v>
      </c>
      <c r="I26" s="306" t="s">
        <v>116</v>
      </c>
      <c r="J26" s="306" t="s">
        <v>116</v>
      </c>
      <c r="K26" s="305">
        <v>209126.80859641358</v>
      </c>
      <c r="L26" s="306">
        <v>253103.20668254004</v>
      </c>
      <c r="M26" s="306">
        <v>259447.9995973086</v>
      </c>
      <c r="N26" s="306">
        <v>255819.11779563004</v>
      </c>
      <c r="O26" s="306">
        <v>268724.27664777712</v>
      </c>
      <c r="P26" s="306">
        <v>272210.15457470168</v>
      </c>
      <c r="Q26" s="306">
        <v>276096.39242536313</v>
      </c>
      <c r="R26" s="126" t="s">
        <v>119</v>
      </c>
      <c r="S26" s="136"/>
      <c r="T26" s="136"/>
      <c r="U26" s="136"/>
      <c r="V26" s="136"/>
      <c r="W26" s="136"/>
      <c r="X26" s="136"/>
      <c r="Y26" s="136"/>
      <c r="Z26" s="136"/>
      <c r="AA26" s="136"/>
      <c r="AB26" s="136"/>
      <c r="AC26" s="136"/>
      <c r="AD26" s="136"/>
      <c r="AE26" s="136"/>
      <c r="AF26" s="136"/>
      <c r="AG26" s="171"/>
      <c r="AH26" s="171"/>
      <c r="AI26" s="171"/>
      <c r="AJ26" s="171"/>
      <c r="AK26" s="171"/>
      <c r="AL26" s="171"/>
      <c r="AM26" s="171"/>
      <c r="AN26" s="171"/>
    </row>
    <row r="27" spans="2:40" ht="25.15" customHeight="1">
      <c r="B27" s="128" t="s">
        <v>33</v>
      </c>
      <c r="C27" s="127" t="s">
        <v>194</v>
      </c>
      <c r="D27" s="306" t="s">
        <v>116</v>
      </c>
      <c r="E27" s="306" t="s">
        <v>116</v>
      </c>
      <c r="F27" s="306" t="s">
        <v>116</v>
      </c>
      <c r="G27" s="306" t="s">
        <v>116</v>
      </c>
      <c r="H27" s="306" t="s">
        <v>116</v>
      </c>
      <c r="I27" s="306" t="s">
        <v>116</v>
      </c>
      <c r="J27" s="306" t="s">
        <v>116</v>
      </c>
      <c r="K27" s="305">
        <v>29068.775894496015</v>
      </c>
      <c r="L27" s="306">
        <v>34902.893984275812</v>
      </c>
      <c r="M27" s="306">
        <v>36449.312457454056</v>
      </c>
      <c r="N27" s="306">
        <v>42851.083193273495</v>
      </c>
      <c r="O27" s="306">
        <v>44070.401009966918</v>
      </c>
      <c r="P27" s="306">
        <v>44511.095983662359</v>
      </c>
      <c r="Q27" s="306">
        <v>44725.287984068535</v>
      </c>
      <c r="R27" s="126" t="s">
        <v>196</v>
      </c>
      <c r="S27" s="136"/>
      <c r="T27" s="136"/>
      <c r="U27" s="136"/>
      <c r="V27" s="136"/>
      <c r="W27" s="136"/>
      <c r="X27" s="136"/>
      <c r="Y27" s="136"/>
      <c r="Z27" s="136"/>
      <c r="AA27" s="136"/>
      <c r="AB27" s="136"/>
      <c r="AC27" s="136"/>
      <c r="AD27" s="136"/>
      <c r="AE27" s="136"/>
      <c r="AF27" s="136"/>
      <c r="AG27" s="171"/>
      <c r="AH27" s="171"/>
      <c r="AI27" s="171"/>
      <c r="AJ27" s="171"/>
      <c r="AK27" s="171"/>
      <c r="AL27" s="171"/>
      <c r="AM27" s="171"/>
      <c r="AN27" s="171"/>
    </row>
    <row r="28" spans="2:40" ht="25.15" customHeight="1">
      <c r="B28" s="128" t="s">
        <v>33</v>
      </c>
      <c r="C28" s="127" t="s">
        <v>180</v>
      </c>
      <c r="D28" s="306" t="s">
        <v>116</v>
      </c>
      <c r="E28" s="306" t="s">
        <v>116</v>
      </c>
      <c r="F28" s="306" t="s">
        <v>116</v>
      </c>
      <c r="G28" s="306" t="s">
        <v>116</v>
      </c>
      <c r="H28" s="306" t="s">
        <v>116</v>
      </c>
      <c r="I28" s="306" t="s">
        <v>116</v>
      </c>
      <c r="J28" s="306" t="s">
        <v>116</v>
      </c>
      <c r="K28" s="305">
        <v>122407.76271084917</v>
      </c>
      <c r="L28" s="306">
        <v>134648.84277061207</v>
      </c>
      <c r="M28" s="306">
        <v>120397.63163276883</v>
      </c>
      <c r="N28" s="306">
        <v>131033.0936934949</v>
      </c>
      <c r="O28" s="306">
        <v>148412.62335808089</v>
      </c>
      <c r="P28" s="306">
        <v>153562.79704837577</v>
      </c>
      <c r="Q28" s="306">
        <v>154727.85991726289</v>
      </c>
      <c r="R28" s="126" t="s">
        <v>195</v>
      </c>
      <c r="S28" s="136"/>
      <c r="T28" s="136"/>
      <c r="U28" s="136"/>
      <c r="V28" s="136"/>
      <c r="W28" s="136"/>
      <c r="X28" s="136"/>
      <c r="Y28" s="136"/>
      <c r="Z28" s="136"/>
      <c r="AA28" s="136"/>
      <c r="AB28" s="136"/>
      <c r="AC28" s="136"/>
      <c r="AD28" s="136"/>
      <c r="AE28" s="136"/>
      <c r="AF28" s="136"/>
      <c r="AG28" s="171"/>
      <c r="AH28" s="171"/>
      <c r="AI28" s="171"/>
      <c r="AJ28" s="171"/>
      <c r="AK28" s="171"/>
      <c r="AL28" s="171"/>
      <c r="AM28" s="171"/>
      <c r="AN28" s="171"/>
    </row>
    <row r="29" spans="2:40" ht="25.15" customHeight="1">
      <c r="B29" s="54" t="s">
        <v>330</v>
      </c>
      <c r="C29" s="127" t="s">
        <v>110</v>
      </c>
      <c r="D29" s="306" t="s">
        <v>116</v>
      </c>
      <c r="E29" s="306" t="s">
        <v>116</v>
      </c>
      <c r="F29" s="306" t="s">
        <v>116</v>
      </c>
      <c r="G29" s="306" t="s">
        <v>116</v>
      </c>
      <c r="H29" s="306" t="s">
        <v>116</v>
      </c>
      <c r="I29" s="306" t="s">
        <v>116</v>
      </c>
      <c r="J29" s="306" t="s">
        <v>116</v>
      </c>
      <c r="K29" s="305">
        <v>88995.155341236066</v>
      </c>
      <c r="L29" s="306">
        <v>91386.108317453429</v>
      </c>
      <c r="M29" s="306">
        <v>91997.898788704988</v>
      </c>
      <c r="N29" s="306">
        <v>86599.294998335899</v>
      </c>
      <c r="O29" s="306">
        <v>94005.18786397377</v>
      </c>
      <c r="P29" s="306">
        <v>82671.283811994042</v>
      </c>
      <c r="Q29" s="306">
        <v>79890.673909661768</v>
      </c>
      <c r="R29" s="126" t="s">
        <v>306</v>
      </c>
      <c r="S29" s="136"/>
      <c r="T29" s="136"/>
      <c r="U29" s="136"/>
      <c r="V29" s="136"/>
      <c r="W29" s="136"/>
      <c r="X29" s="136"/>
      <c r="Y29" s="136"/>
      <c r="Z29" s="136"/>
      <c r="AA29" s="136"/>
      <c r="AB29" s="136"/>
      <c r="AC29" s="136"/>
      <c r="AD29" s="136"/>
      <c r="AE29" s="136"/>
      <c r="AF29" s="136"/>
      <c r="AG29" s="171"/>
      <c r="AH29" s="171"/>
      <c r="AI29" s="171"/>
      <c r="AJ29" s="171"/>
      <c r="AK29" s="171"/>
      <c r="AL29" s="171"/>
      <c r="AM29" s="171"/>
      <c r="AN29" s="171"/>
    </row>
    <row r="30" spans="2:40" ht="25.15" customHeight="1">
      <c r="B30" s="387" t="s">
        <v>34</v>
      </c>
      <c r="C30" s="388" t="s">
        <v>109</v>
      </c>
      <c r="D30" s="399" t="s">
        <v>116</v>
      </c>
      <c r="E30" s="399" t="s">
        <v>116</v>
      </c>
      <c r="F30" s="399" t="s">
        <v>116</v>
      </c>
      <c r="G30" s="399" t="s">
        <v>116</v>
      </c>
      <c r="H30" s="399" t="s">
        <v>116</v>
      </c>
      <c r="I30" s="399" t="s">
        <v>116</v>
      </c>
      <c r="J30" s="399" t="s">
        <v>116</v>
      </c>
      <c r="K30" s="400">
        <v>238328.11436351261</v>
      </c>
      <c r="L30" s="399">
        <v>315867.93737236218</v>
      </c>
      <c r="M30" s="399">
        <v>375513.95507147722</v>
      </c>
      <c r="N30" s="399">
        <v>392244.52008168824</v>
      </c>
      <c r="O30" s="399">
        <v>402728.11436351261</v>
      </c>
      <c r="P30" s="399">
        <v>358529.6119809394</v>
      </c>
      <c r="Q30" s="399">
        <v>360626.27637848881</v>
      </c>
      <c r="R30" s="392" t="s">
        <v>35</v>
      </c>
      <c r="S30" s="136"/>
      <c r="T30" s="136"/>
      <c r="U30" s="136"/>
      <c r="V30" s="136"/>
      <c r="W30" s="136"/>
      <c r="X30" s="136"/>
      <c r="Y30" s="136"/>
      <c r="Z30" s="136"/>
      <c r="AA30" s="136"/>
      <c r="AB30" s="136"/>
      <c r="AC30" s="136"/>
      <c r="AD30" s="136"/>
      <c r="AE30" s="136"/>
      <c r="AF30" s="136"/>
      <c r="AG30" s="171"/>
      <c r="AH30" s="171"/>
      <c r="AI30" s="171"/>
      <c r="AJ30" s="171"/>
      <c r="AK30" s="171"/>
      <c r="AL30" s="171"/>
      <c r="AM30" s="171"/>
      <c r="AN30" s="171"/>
    </row>
    <row r="31" spans="2:40" ht="25.15" customHeight="1">
      <c r="B31" s="54" t="s">
        <v>36</v>
      </c>
      <c r="C31" s="129" t="s">
        <v>108</v>
      </c>
      <c r="D31" s="306" t="s">
        <v>116</v>
      </c>
      <c r="E31" s="306" t="s">
        <v>116</v>
      </c>
      <c r="F31" s="306" t="s">
        <v>116</v>
      </c>
      <c r="G31" s="306" t="s">
        <v>116</v>
      </c>
      <c r="H31" s="306" t="s">
        <v>116</v>
      </c>
      <c r="I31" s="306" t="s">
        <v>116</v>
      </c>
      <c r="J31" s="306" t="s">
        <v>116</v>
      </c>
      <c r="K31" s="305">
        <v>226592.2396187883</v>
      </c>
      <c r="L31" s="306">
        <v>303070.11572498298</v>
      </c>
      <c r="M31" s="306">
        <v>360445.20081688225</v>
      </c>
      <c r="N31" s="306">
        <v>371005.5820285909</v>
      </c>
      <c r="O31" s="306">
        <v>378902.38257317903</v>
      </c>
      <c r="P31" s="306">
        <v>297753.57385976857</v>
      </c>
      <c r="Q31" s="306">
        <v>295030.63308373041</v>
      </c>
      <c r="R31" s="130" t="s">
        <v>120</v>
      </c>
      <c r="S31" s="136"/>
      <c r="T31" s="136"/>
      <c r="U31" s="136"/>
      <c r="V31" s="136"/>
      <c r="W31" s="136"/>
      <c r="X31" s="136"/>
      <c r="Y31" s="136"/>
      <c r="Z31" s="136"/>
      <c r="AA31" s="136"/>
      <c r="AB31" s="136"/>
      <c r="AC31" s="136"/>
      <c r="AD31" s="136"/>
      <c r="AE31" s="136"/>
      <c r="AF31" s="136"/>
      <c r="AG31" s="171"/>
      <c r="AH31" s="171"/>
      <c r="AI31" s="171"/>
      <c r="AJ31" s="171"/>
      <c r="AK31" s="171"/>
      <c r="AL31" s="171"/>
      <c r="AM31" s="171"/>
      <c r="AN31" s="171"/>
    </row>
    <row r="32" spans="2:40" ht="25.15" customHeight="1">
      <c r="B32" s="393" t="s">
        <v>37</v>
      </c>
      <c r="C32" s="394" t="s">
        <v>107</v>
      </c>
      <c r="D32" s="401" t="s">
        <v>116</v>
      </c>
      <c r="E32" s="401" t="s">
        <v>116</v>
      </c>
      <c r="F32" s="401" t="s">
        <v>116</v>
      </c>
      <c r="G32" s="401" t="s">
        <v>116</v>
      </c>
      <c r="H32" s="401" t="s">
        <v>116</v>
      </c>
      <c r="I32" s="401" t="s">
        <v>116</v>
      </c>
      <c r="J32" s="401" t="s">
        <v>116</v>
      </c>
      <c r="K32" s="402">
        <v>11735.874744724302</v>
      </c>
      <c r="L32" s="401">
        <v>12797.821647379171</v>
      </c>
      <c r="M32" s="401">
        <v>15068.754254594964</v>
      </c>
      <c r="N32" s="401">
        <v>21238.938053097347</v>
      </c>
      <c r="O32" s="401">
        <v>23825.731790333561</v>
      </c>
      <c r="P32" s="401">
        <v>60776.038121170866</v>
      </c>
      <c r="Q32" s="401">
        <v>65595.643294758338</v>
      </c>
      <c r="R32" s="398" t="s">
        <v>103</v>
      </c>
      <c r="S32" s="136"/>
      <c r="T32" s="136"/>
      <c r="U32" s="136"/>
      <c r="V32" s="136"/>
      <c r="W32" s="136"/>
      <c r="X32" s="136"/>
      <c r="Y32" s="136"/>
      <c r="Z32" s="136"/>
      <c r="AA32" s="136"/>
      <c r="AB32" s="136"/>
      <c r="AC32" s="136"/>
      <c r="AD32" s="136"/>
      <c r="AE32" s="136"/>
      <c r="AF32" s="136"/>
      <c r="AG32" s="171"/>
      <c r="AH32" s="171"/>
      <c r="AI32" s="171"/>
      <c r="AJ32" s="171"/>
      <c r="AK32" s="171"/>
      <c r="AL32" s="171"/>
      <c r="AM32" s="171"/>
      <c r="AN32" s="171"/>
    </row>
    <row r="33" spans="2:40" ht="25.15" customHeight="1">
      <c r="B33" s="128" t="s">
        <v>38</v>
      </c>
      <c r="C33" s="127" t="s">
        <v>105</v>
      </c>
      <c r="D33" s="306">
        <v>178610.75561606535</v>
      </c>
      <c r="E33" s="306">
        <v>215973.04288631724</v>
      </c>
      <c r="F33" s="306">
        <v>239748.67256637168</v>
      </c>
      <c r="G33" s="306">
        <v>252509.46221919675</v>
      </c>
      <c r="H33" s="306">
        <v>275110.95983662357</v>
      </c>
      <c r="I33" s="306">
        <v>268999.31926480599</v>
      </c>
      <c r="J33" s="306">
        <v>270714.77195371001</v>
      </c>
      <c r="K33" s="305" t="s">
        <v>116</v>
      </c>
      <c r="L33" s="306" t="s">
        <v>116</v>
      </c>
      <c r="M33" s="306" t="s">
        <v>116</v>
      </c>
      <c r="N33" s="306" t="s">
        <v>116</v>
      </c>
      <c r="O33" s="306" t="s">
        <v>116</v>
      </c>
      <c r="P33" s="306" t="s">
        <v>116</v>
      </c>
      <c r="Q33" s="306" t="s">
        <v>116</v>
      </c>
      <c r="R33" s="126" t="s">
        <v>121</v>
      </c>
      <c r="S33" s="136"/>
      <c r="T33" s="136"/>
      <c r="U33" s="136"/>
      <c r="V33" s="136"/>
      <c r="W33" s="136"/>
      <c r="X33" s="136"/>
      <c r="Y33" s="136"/>
      <c r="Z33" s="136"/>
      <c r="AA33" s="136"/>
      <c r="AB33" s="136"/>
      <c r="AC33" s="136"/>
      <c r="AD33" s="136"/>
      <c r="AE33" s="136"/>
      <c r="AF33" s="136"/>
      <c r="AG33" s="171"/>
      <c r="AH33" s="171"/>
      <c r="AI33" s="171"/>
      <c r="AJ33" s="171"/>
      <c r="AK33" s="171"/>
      <c r="AL33" s="171"/>
      <c r="AM33" s="171"/>
      <c r="AN33" s="171"/>
    </row>
    <row r="34" spans="2:40" ht="25.15" customHeight="1">
      <c r="B34" s="54" t="s">
        <v>39</v>
      </c>
      <c r="C34" s="129" t="s">
        <v>111</v>
      </c>
      <c r="D34" s="306">
        <v>136511.09598366235</v>
      </c>
      <c r="E34" s="306">
        <v>159400.13614703881</v>
      </c>
      <c r="F34" s="306">
        <v>176600.95302927162</v>
      </c>
      <c r="G34" s="306">
        <v>190317.49489448604</v>
      </c>
      <c r="H34" s="306">
        <v>210250.51055139551</v>
      </c>
      <c r="I34" s="306">
        <v>187120.49012933968</v>
      </c>
      <c r="J34" s="306">
        <v>186875.42545949627</v>
      </c>
      <c r="K34" s="305" t="s">
        <v>116</v>
      </c>
      <c r="L34" s="306" t="s">
        <v>116</v>
      </c>
      <c r="M34" s="306" t="s">
        <v>116</v>
      </c>
      <c r="N34" s="306" t="s">
        <v>116</v>
      </c>
      <c r="O34" s="306" t="s">
        <v>116</v>
      </c>
      <c r="P34" s="306" t="s">
        <v>116</v>
      </c>
      <c r="Q34" s="306" t="s">
        <v>116</v>
      </c>
      <c r="R34" s="130" t="s">
        <v>122</v>
      </c>
      <c r="S34" s="136"/>
      <c r="T34" s="136"/>
      <c r="U34" s="136"/>
      <c r="V34" s="136"/>
      <c r="W34" s="136"/>
      <c r="X34" s="136"/>
      <c r="Y34" s="136"/>
      <c r="Z34" s="136"/>
      <c r="AA34" s="136"/>
      <c r="AB34" s="136"/>
      <c r="AC34" s="136"/>
      <c r="AD34" s="136"/>
      <c r="AE34" s="136"/>
      <c r="AF34" s="136"/>
      <c r="AG34" s="171"/>
      <c r="AH34" s="171"/>
      <c r="AI34" s="171"/>
      <c r="AJ34" s="171"/>
      <c r="AK34" s="171"/>
      <c r="AL34" s="171"/>
      <c r="AM34" s="171"/>
      <c r="AN34" s="171"/>
    </row>
    <row r="35" spans="2:40" ht="25.15" customHeight="1" thickBot="1">
      <c r="B35" s="20" t="s">
        <v>40</v>
      </c>
      <c r="C35" s="51" t="s">
        <v>106</v>
      </c>
      <c r="D35" s="307">
        <v>42099.659632402996</v>
      </c>
      <c r="E35" s="307">
        <v>56572.90673927842</v>
      </c>
      <c r="F35" s="307">
        <v>63147.719537100071</v>
      </c>
      <c r="G35" s="307">
        <v>62191.967324710691</v>
      </c>
      <c r="H35" s="307">
        <v>64860.449285228045</v>
      </c>
      <c r="I35" s="307">
        <v>81878.829135466309</v>
      </c>
      <c r="J35" s="307">
        <v>83839.346494213751</v>
      </c>
      <c r="K35" s="384" t="s">
        <v>116</v>
      </c>
      <c r="L35" s="307" t="s">
        <v>116</v>
      </c>
      <c r="M35" s="307" t="s">
        <v>116</v>
      </c>
      <c r="N35" s="307" t="s">
        <v>116</v>
      </c>
      <c r="O35" s="307" t="s">
        <v>116</v>
      </c>
      <c r="P35" s="307" t="s">
        <v>116</v>
      </c>
      <c r="Q35" s="307" t="s">
        <v>116</v>
      </c>
      <c r="R35" s="52" t="s">
        <v>104</v>
      </c>
      <c r="S35" s="136"/>
      <c r="T35" s="136"/>
      <c r="U35" s="136"/>
      <c r="V35" s="136"/>
      <c r="W35" s="136"/>
      <c r="X35" s="136"/>
      <c r="Y35" s="136"/>
      <c r="Z35" s="136"/>
      <c r="AA35" s="136"/>
      <c r="AB35" s="136"/>
      <c r="AC35" s="136"/>
      <c r="AD35" s="136"/>
      <c r="AE35" s="136"/>
      <c r="AF35" s="136"/>
      <c r="AG35" s="171"/>
      <c r="AH35" s="171"/>
      <c r="AI35" s="171"/>
      <c r="AJ35" s="171"/>
      <c r="AK35" s="171"/>
      <c r="AL35" s="171"/>
      <c r="AM35" s="171"/>
      <c r="AN35" s="171"/>
    </row>
    <row r="36" spans="2:40" ht="25.15" customHeight="1">
      <c r="B36" s="81" t="s">
        <v>192</v>
      </c>
      <c r="C36" s="81"/>
      <c r="D36" s="78"/>
      <c r="E36" s="78"/>
      <c r="F36" s="79"/>
      <c r="G36" s="80"/>
      <c r="K36" s="100"/>
      <c r="L36" s="100"/>
      <c r="M36" s="100"/>
      <c r="N36" s="100"/>
      <c r="O36" s="100"/>
      <c r="P36" s="100"/>
      <c r="Q36" s="100"/>
      <c r="R36" s="81" t="s">
        <v>551</v>
      </c>
      <c r="S36" s="80"/>
    </row>
  </sheetData>
  <mergeCells count="15">
    <mergeCell ref="B20:R20"/>
    <mergeCell ref="B21:R21"/>
    <mergeCell ref="B23:B24"/>
    <mergeCell ref="C23:C24"/>
    <mergeCell ref="D23:J23"/>
    <mergeCell ref="K23:Q23"/>
    <mergeCell ref="R23:R24"/>
    <mergeCell ref="B1:M1"/>
    <mergeCell ref="B2:R2"/>
    <mergeCell ref="B3:R3"/>
    <mergeCell ref="B5:B6"/>
    <mergeCell ref="C5:C6"/>
    <mergeCell ref="D5:J5"/>
    <mergeCell ref="K5:Q5"/>
    <mergeCell ref="R5:R6"/>
  </mergeCells>
  <pageMargins left="0.70866141732283472" right="0.70866141732283472" top="0.74803149606299213" bottom="0.74803149606299213" header="0.31496062992125984" footer="0.31496062992125984"/>
  <pageSetup paperSize="9" scale="26" orientation="portrait" verticalDpi="4294967293" r:id="rId1"/>
  <rowBreaks count="1" manualBreakCount="1">
    <brk id="18" max="2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123"/>
  <sheetViews>
    <sheetView showGridLines="0" rightToLeft="1" zoomScaleNormal="100" zoomScaleSheetLayoutView="50" workbookViewId="0"/>
  </sheetViews>
  <sheetFormatPr defaultColWidth="9.28515625" defaultRowHeight="25.15" customHeight="1"/>
  <cols>
    <col min="1" max="1" width="15.7109375" style="99" customWidth="1"/>
    <col min="2" max="2" width="39.7109375" style="99" customWidth="1"/>
    <col min="3" max="16" width="10.42578125" style="100" customWidth="1"/>
    <col min="17" max="17" width="39.7109375" style="100" customWidth="1"/>
    <col min="18" max="18" width="11" style="99" bestFit="1" customWidth="1"/>
    <col min="19" max="19" width="9.5703125" style="99" customWidth="1"/>
    <col min="20" max="20" width="10.42578125" style="99" bestFit="1" customWidth="1"/>
    <col min="21" max="21" width="11.140625" style="99" bestFit="1" customWidth="1"/>
    <col min="22" max="28" width="10.42578125" style="99" bestFit="1" customWidth="1"/>
    <col min="29" max="29" width="9.28515625" style="99" bestFit="1" customWidth="1"/>
    <col min="30" max="30" width="9.28515625" style="99"/>
    <col min="31" max="31" width="11.42578125" style="99" bestFit="1" customWidth="1"/>
    <col min="32" max="16384" width="9.28515625" style="99"/>
  </cols>
  <sheetData>
    <row r="1" spans="2:31" ht="50.1" customHeight="1"/>
    <row r="2" spans="2:31" ht="25.15" customHeight="1">
      <c r="B2" s="547" t="s">
        <v>452</v>
      </c>
      <c r="C2" s="547"/>
      <c r="D2" s="547"/>
      <c r="E2" s="547"/>
      <c r="F2" s="547"/>
      <c r="G2" s="547"/>
      <c r="H2" s="547"/>
      <c r="I2" s="547"/>
      <c r="J2" s="547"/>
      <c r="K2" s="547"/>
      <c r="L2" s="547"/>
      <c r="M2" s="547"/>
      <c r="N2" s="547"/>
      <c r="O2" s="547"/>
      <c r="P2" s="547"/>
      <c r="Q2" s="547"/>
    </row>
    <row r="3" spans="2:31" ht="25.15" customHeight="1">
      <c r="B3" s="548" t="s">
        <v>428</v>
      </c>
      <c r="C3" s="548"/>
      <c r="D3" s="548"/>
      <c r="E3" s="548"/>
      <c r="F3" s="548"/>
      <c r="G3" s="548"/>
      <c r="H3" s="548"/>
      <c r="I3" s="548"/>
      <c r="J3" s="548"/>
      <c r="K3" s="548"/>
      <c r="L3" s="548"/>
      <c r="M3" s="548"/>
      <c r="N3" s="548"/>
      <c r="O3" s="548"/>
      <c r="P3" s="548"/>
      <c r="Q3" s="548"/>
    </row>
    <row r="4" spans="2:31" ht="25.15" customHeight="1">
      <c r="B4" s="293"/>
      <c r="C4" s="293"/>
      <c r="D4" s="293"/>
      <c r="E4" s="293"/>
      <c r="F4" s="293"/>
      <c r="G4" s="293"/>
      <c r="H4" s="293"/>
      <c r="I4" s="293"/>
      <c r="J4" s="293"/>
      <c r="K4" s="293"/>
      <c r="L4" s="293"/>
      <c r="M4" s="293"/>
      <c r="N4" s="293"/>
      <c r="O4" s="293"/>
      <c r="P4" s="293"/>
      <c r="Q4" s="64" t="s">
        <v>369</v>
      </c>
    </row>
    <row r="5" spans="2:31" ht="25.15" customHeight="1">
      <c r="B5" s="183" t="s">
        <v>1</v>
      </c>
      <c r="C5" s="49">
        <v>2010</v>
      </c>
      <c r="D5" s="49">
        <v>2011</v>
      </c>
      <c r="E5" s="49">
        <v>2012</v>
      </c>
      <c r="F5" s="49">
        <v>2013</v>
      </c>
      <c r="G5" s="49">
        <v>2014</v>
      </c>
      <c r="H5" s="49">
        <v>2015</v>
      </c>
      <c r="I5" s="49">
        <v>2016</v>
      </c>
      <c r="J5" s="49">
        <v>2017</v>
      </c>
      <c r="K5" s="49">
        <v>2018</v>
      </c>
      <c r="L5" s="49">
        <v>2019</v>
      </c>
      <c r="M5" s="49">
        <v>2020</v>
      </c>
      <c r="N5" s="49">
        <v>2021</v>
      </c>
      <c r="O5" s="49" t="s">
        <v>185</v>
      </c>
      <c r="P5" s="49" t="s">
        <v>186</v>
      </c>
      <c r="Q5" s="49" t="s">
        <v>17</v>
      </c>
    </row>
    <row r="6" spans="2:31" ht="25.15" customHeight="1">
      <c r="B6" s="17" t="s">
        <v>451</v>
      </c>
      <c r="C6" s="348">
        <v>8264.07</v>
      </c>
      <c r="D6" s="348">
        <v>8394.0190000000002</v>
      </c>
      <c r="E6" s="348">
        <v>8526.4249999999993</v>
      </c>
      <c r="F6" s="348">
        <v>8661.3449999999993</v>
      </c>
      <c r="G6" s="348">
        <v>8798.8410000000003</v>
      </c>
      <c r="H6" s="348">
        <v>8938.9740000000002</v>
      </c>
      <c r="I6" s="348">
        <v>9121.1669999999995</v>
      </c>
      <c r="J6" s="348">
        <v>9304.277</v>
      </c>
      <c r="K6" s="348">
        <v>9366.8279999999995</v>
      </c>
      <c r="L6" s="348">
        <v>9506.7870000000003</v>
      </c>
      <c r="M6" s="348">
        <v>9285.5130000000008</v>
      </c>
      <c r="N6" s="348">
        <v>9859.9</v>
      </c>
      <c r="O6" s="348">
        <v>10281.367</v>
      </c>
      <c r="P6" s="348">
        <v>10679.758</v>
      </c>
      <c r="Q6" s="18" t="s">
        <v>154</v>
      </c>
    </row>
    <row r="7" spans="2:31" ht="25.15" customHeight="1">
      <c r="B7" s="17" t="s">
        <v>16</v>
      </c>
      <c r="C7" s="265">
        <v>1102444.2960188196</v>
      </c>
      <c r="D7" s="265">
        <v>1325158.2360281735</v>
      </c>
      <c r="E7" s="265">
        <v>1412480.6854728626</v>
      </c>
      <c r="F7" s="265">
        <v>1469802.5504980453</v>
      </c>
      <c r="G7" s="265">
        <v>1520801.9594220994</v>
      </c>
      <c r="H7" s="265">
        <v>1359836.661959708</v>
      </c>
      <c r="I7" s="265">
        <v>1356090.1856008724</v>
      </c>
      <c r="J7" s="265">
        <v>1434172.9627506007</v>
      </c>
      <c r="K7" s="265">
        <v>1568339.0395684734</v>
      </c>
      <c r="L7" s="265">
        <v>1535067.253069933</v>
      </c>
      <c r="M7" s="265">
        <v>1283439.6488249118</v>
      </c>
      <c r="N7" s="265">
        <v>1524744.1164473973</v>
      </c>
      <c r="O7" s="265">
        <v>1846283.0320127676</v>
      </c>
      <c r="P7" s="265">
        <v>1888144.0139184361</v>
      </c>
      <c r="Q7" s="18" t="s">
        <v>88</v>
      </c>
    </row>
    <row r="8" spans="2:31" ht="25.15" customHeight="1">
      <c r="B8" s="17" t="s">
        <v>175</v>
      </c>
      <c r="C8" s="265">
        <v>774951.7201311104</v>
      </c>
      <c r="D8" s="265">
        <v>829064.82220249483</v>
      </c>
      <c r="E8" s="265">
        <v>881016.02036278206</v>
      </c>
      <c r="F8" s="265">
        <v>947023.02946901158</v>
      </c>
      <c r="G8" s="265">
        <v>1021020.141239071</v>
      </c>
      <c r="H8" s="265">
        <v>1075966.1223768732</v>
      </c>
      <c r="I8" s="265">
        <v>1105237.7804712139</v>
      </c>
      <c r="J8" s="265">
        <v>1145243.3008157748</v>
      </c>
      <c r="K8" s="265">
        <v>1166508.8320745765</v>
      </c>
      <c r="L8" s="265">
        <v>1189237.1035670028</v>
      </c>
      <c r="M8" s="265">
        <v>1061009.7125422496</v>
      </c>
      <c r="N8" s="265">
        <v>1157701.5641795944</v>
      </c>
      <c r="O8" s="265">
        <v>1298756.5246611242</v>
      </c>
      <c r="P8" s="265">
        <v>1426916.5440586801</v>
      </c>
      <c r="Q8" s="18" t="s">
        <v>310</v>
      </c>
    </row>
    <row r="9" spans="2:31" ht="25.15" customHeight="1">
      <c r="B9" s="17" t="s">
        <v>311</v>
      </c>
      <c r="C9" s="349">
        <v>1102444.2960188196</v>
      </c>
      <c r="D9" s="349">
        <v>1170973.5763839174</v>
      </c>
      <c r="E9" s="349">
        <v>1192337.7643258215</v>
      </c>
      <c r="F9" s="349">
        <v>1252617.1112815833</v>
      </c>
      <c r="G9" s="349">
        <v>1304797.2801047731</v>
      </c>
      <c r="H9" s="349">
        <v>1393350.908042748</v>
      </c>
      <c r="I9" s="349">
        <v>1470841.9899778126</v>
      </c>
      <c r="J9" s="349">
        <v>1481653.689266236</v>
      </c>
      <c r="K9" s="349">
        <v>1501121.3427639494</v>
      </c>
      <c r="L9" s="349">
        <v>1517758.9932295652</v>
      </c>
      <c r="M9" s="349">
        <v>1442522.88407507</v>
      </c>
      <c r="N9" s="349">
        <v>1505341.2258116917</v>
      </c>
      <c r="O9" s="349">
        <v>1618387.7911712294</v>
      </c>
      <c r="P9" s="349">
        <v>1676952.495939618</v>
      </c>
      <c r="Q9" s="18" t="s">
        <v>312</v>
      </c>
    </row>
    <row r="10" spans="2:31" ht="25.15" customHeight="1">
      <c r="B10" s="56" t="s">
        <v>153</v>
      </c>
      <c r="C10" s="265">
        <v>1102136.2960188196</v>
      </c>
      <c r="D10" s="265">
        <v>1325655.2360281735</v>
      </c>
      <c r="E10" s="265">
        <v>1413580.6854728626</v>
      </c>
      <c r="F10" s="265">
        <v>1471502.5504980453</v>
      </c>
      <c r="G10" s="265">
        <v>1523221.9594220994</v>
      </c>
      <c r="H10" s="265">
        <v>1366236.661959708</v>
      </c>
      <c r="I10" s="265">
        <v>1363790.1856008724</v>
      </c>
      <c r="J10" s="265">
        <v>1444372.9627506007</v>
      </c>
      <c r="K10" s="265">
        <v>1573569.0395684734</v>
      </c>
      <c r="L10" s="265">
        <v>1542638.263069933</v>
      </c>
      <c r="M10" s="265">
        <v>1276539.6488249118</v>
      </c>
      <c r="N10" s="265">
        <v>1522044.1164473973</v>
      </c>
      <c r="O10" s="265">
        <v>1846483.0320127676</v>
      </c>
      <c r="P10" s="265">
        <v>1902244.0139184361</v>
      </c>
      <c r="Q10" s="18" t="s">
        <v>89</v>
      </c>
    </row>
    <row r="11" spans="2:31" ht="25.15" customHeight="1">
      <c r="B11" s="17" t="s">
        <v>313</v>
      </c>
      <c r="C11" s="265">
        <v>1049405.0461032391</v>
      </c>
      <c r="D11" s="265">
        <v>1271823.0232763723</v>
      </c>
      <c r="E11" s="265">
        <v>1360825.1283773025</v>
      </c>
      <c r="F11" s="265">
        <v>1428154.973142019</v>
      </c>
      <c r="G11" s="265">
        <v>1475249.5781343309</v>
      </c>
      <c r="H11" s="265">
        <v>1313203.1741026768</v>
      </c>
      <c r="I11" s="265">
        <v>1315774.1163568657</v>
      </c>
      <c r="J11" s="265">
        <v>1384556.3669681989</v>
      </c>
      <c r="K11" s="265">
        <v>1507733.3363468118</v>
      </c>
      <c r="L11" s="265">
        <v>1477637.5867603547</v>
      </c>
      <c r="M11" s="265">
        <v>1229072.5292622012</v>
      </c>
      <c r="N11" s="265">
        <v>1470177.9495267416</v>
      </c>
      <c r="O11" s="265">
        <v>1794970.5384136215</v>
      </c>
      <c r="P11" s="265">
        <v>1847390.5899835934</v>
      </c>
      <c r="Q11" s="18" t="s">
        <v>90</v>
      </c>
    </row>
    <row r="12" spans="2:31" ht="25.15" customHeight="1">
      <c r="B12" s="56" t="s">
        <v>4</v>
      </c>
      <c r="C12" s="265">
        <v>1030936.2960188196</v>
      </c>
      <c r="D12" s="265">
        <v>1244755.2360281735</v>
      </c>
      <c r="E12" s="265">
        <v>1323680.6854728626</v>
      </c>
      <c r="F12" s="265">
        <v>1374452.6504980454</v>
      </c>
      <c r="G12" s="265">
        <v>1419521.9594220994</v>
      </c>
      <c r="H12" s="265">
        <v>1220636.661959708</v>
      </c>
      <c r="I12" s="265">
        <v>1220190.1856008724</v>
      </c>
      <c r="J12" s="265">
        <v>1293072.9627506007</v>
      </c>
      <c r="K12" s="265">
        <v>1404239.0395684734</v>
      </c>
      <c r="L12" s="265">
        <v>1368660.263069933</v>
      </c>
      <c r="M12" s="265">
        <v>1079639.6488249118</v>
      </c>
      <c r="N12" s="265">
        <v>1316244.1164473973</v>
      </c>
      <c r="O12" s="265">
        <v>1620283.0320127676</v>
      </c>
      <c r="P12" s="265">
        <v>1661405.5139184361</v>
      </c>
      <c r="Q12" s="18" t="s">
        <v>303</v>
      </c>
    </row>
    <row r="13" spans="2:31" ht="25.15" customHeight="1">
      <c r="B13" s="17" t="s">
        <v>304</v>
      </c>
      <c r="C13" s="265">
        <v>474638.70799068944</v>
      </c>
      <c r="D13" s="265">
        <v>622076.4827958477</v>
      </c>
      <c r="E13" s="265">
        <v>747660.28330151911</v>
      </c>
      <c r="F13" s="265">
        <v>735863.01088138856</v>
      </c>
      <c r="G13" s="265">
        <v>712628.05243044393</v>
      </c>
      <c r="H13" s="265">
        <v>493210.28979954799</v>
      </c>
      <c r="I13" s="265">
        <v>487698.49993323267</v>
      </c>
      <c r="J13" s="265">
        <v>519612.99175792665</v>
      </c>
      <c r="K13" s="265">
        <v>614138.14831917314</v>
      </c>
      <c r="L13" s="265">
        <v>566132.6152788602</v>
      </c>
      <c r="M13" s="265">
        <v>290435.00626654853</v>
      </c>
      <c r="N13" s="265">
        <v>470380.96327561839</v>
      </c>
      <c r="O13" s="265">
        <v>608279.97536852746</v>
      </c>
      <c r="P13" s="265">
        <v>565675.19510293612</v>
      </c>
      <c r="Q13" s="18" t="s">
        <v>314</v>
      </c>
    </row>
    <row r="14" spans="2:31" ht="25.15" customHeight="1">
      <c r="B14" s="350" t="s">
        <v>307</v>
      </c>
      <c r="C14" s="351">
        <v>556297.58802813012</v>
      </c>
      <c r="D14" s="351">
        <v>622678.75323232578</v>
      </c>
      <c r="E14" s="351">
        <v>576020.40217134345</v>
      </c>
      <c r="F14" s="351">
        <v>638589.63961665682</v>
      </c>
      <c r="G14" s="351">
        <v>706893.90699165547</v>
      </c>
      <c r="H14" s="351">
        <v>727426.37216015998</v>
      </c>
      <c r="I14" s="351">
        <v>732491.68566763971</v>
      </c>
      <c r="J14" s="351">
        <v>773459.970992674</v>
      </c>
      <c r="K14" s="351">
        <v>790100.89124930021</v>
      </c>
      <c r="L14" s="351">
        <v>802527.64779107284</v>
      </c>
      <c r="M14" s="351">
        <v>789204.64255836327</v>
      </c>
      <c r="N14" s="351">
        <v>845863.15317177889</v>
      </c>
      <c r="O14" s="351">
        <v>1012003.0566442402</v>
      </c>
      <c r="P14" s="351">
        <v>1095730.3188155</v>
      </c>
      <c r="Q14" s="352" t="s">
        <v>99</v>
      </c>
      <c r="R14" s="172"/>
      <c r="S14" s="172"/>
      <c r="T14" s="172"/>
      <c r="U14" s="172"/>
      <c r="V14" s="172"/>
      <c r="W14" s="172"/>
      <c r="X14" s="172"/>
      <c r="Y14" s="172"/>
      <c r="Z14" s="172"/>
      <c r="AA14" s="172"/>
      <c r="AB14" s="172"/>
      <c r="AC14" s="172"/>
      <c r="AD14" s="172"/>
      <c r="AE14" s="172"/>
    </row>
    <row r="15" spans="2:31" ht="25.15" customHeight="1">
      <c r="B15" s="285" t="s">
        <v>180</v>
      </c>
      <c r="C15" s="265">
        <v>449542.50855559355</v>
      </c>
      <c r="D15" s="265">
        <v>494497.87507507287</v>
      </c>
      <c r="E15" s="265">
        <v>442160.30217134347</v>
      </c>
      <c r="F15" s="265">
        <v>481219.03658935998</v>
      </c>
      <c r="G15" s="265">
        <v>545045.35928255203</v>
      </c>
      <c r="H15" s="265">
        <v>563959.37216015998</v>
      </c>
      <c r="I15" s="265">
        <v>568238.06554614799</v>
      </c>
      <c r="J15" s="265">
        <v>586360.970992674</v>
      </c>
      <c r="K15" s="265">
        <v>593901.96833798895</v>
      </c>
      <c r="L15" s="265">
        <v>601625.26689755102</v>
      </c>
      <c r="M15" s="265">
        <v>594384.0927204442</v>
      </c>
      <c r="N15" s="265">
        <v>623084.41386491875</v>
      </c>
      <c r="O15" s="265">
        <v>778494.02668811427</v>
      </c>
      <c r="P15" s="265">
        <v>861237.90855405899</v>
      </c>
      <c r="Q15" s="353" t="s">
        <v>195</v>
      </c>
      <c r="R15" s="172"/>
      <c r="S15" s="172"/>
      <c r="T15" s="172"/>
      <c r="U15" s="172"/>
      <c r="V15" s="172"/>
      <c r="W15" s="172"/>
      <c r="X15" s="172"/>
      <c r="Y15" s="172"/>
      <c r="Z15" s="172"/>
      <c r="AA15" s="172"/>
      <c r="AB15" s="172"/>
      <c r="AC15" s="172"/>
      <c r="AD15" s="172"/>
      <c r="AE15" s="172"/>
    </row>
    <row r="16" spans="2:31" ht="25.15" customHeight="1">
      <c r="B16" s="354" t="s">
        <v>194</v>
      </c>
      <c r="C16" s="355">
        <v>106755.07947253661</v>
      </c>
      <c r="D16" s="355">
        <v>128180.87815725291</v>
      </c>
      <c r="E16" s="355">
        <v>133860.1</v>
      </c>
      <c r="F16" s="355">
        <v>157370.60302729689</v>
      </c>
      <c r="G16" s="355">
        <v>161848.5477091035</v>
      </c>
      <c r="H16" s="355">
        <v>163467</v>
      </c>
      <c r="I16" s="355">
        <v>164253.62012149169</v>
      </c>
      <c r="J16" s="355">
        <v>187099</v>
      </c>
      <c r="K16" s="355">
        <v>196198.92291131127</v>
      </c>
      <c r="L16" s="355">
        <v>200902.38089352185</v>
      </c>
      <c r="M16" s="355">
        <v>194820.54983791901</v>
      </c>
      <c r="N16" s="355">
        <v>222778.73930686014</v>
      </c>
      <c r="O16" s="355">
        <v>233509.02995612586</v>
      </c>
      <c r="P16" s="355">
        <v>234492.41026144093</v>
      </c>
      <c r="Q16" s="356" t="s">
        <v>196</v>
      </c>
      <c r="R16" s="172"/>
      <c r="S16" s="172"/>
      <c r="T16" s="172"/>
      <c r="U16" s="172"/>
      <c r="V16" s="172"/>
      <c r="W16" s="172"/>
      <c r="X16" s="172"/>
      <c r="Y16" s="172"/>
      <c r="Z16" s="172"/>
      <c r="AA16" s="172"/>
      <c r="AB16" s="172"/>
      <c r="AC16" s="172"/>
      <c r="AD16" s="172"/>
      <c r="AE16" s="172"/>
    </row>
    <row r="17" spans="2:31" ht="25.15" customHeight="1">
      <c r="B17" s="17" t="s">
        <v>207</v>
      </c>
      <c r="C17" s="265">
        <v>326834.70799068944</v>
      </c>
      <c r="D17" s="265">
        <v>335615.4827958477</v>
      </c>
      <c r="E17" s="265">
        <v>337862.28330151906</v>
      </c>
      <c r="F17" s="265">
        <v>318035.91088138858</v>
      </c>
      <c r="G17" s="265">
        <v>345234.05243044364</v>
      </c>
      <c r="H17" s="265">
        <v>303610.2897995481</v>
      </c>
      <c r="I17" s="265">
        <v>293398.49993323284</v>
      </c>
      <c r="J17" s="265">
        <v>305212.99175792688</v>
      </c>
      <c r="K17" s="265">
        <v>342378.14831917285</v>
      </c>
      <c r="L17" s="265">
        <v>369479.60527886025</v>
      </c>
      <c r="M17" s="265">
        <v>299411.87782678229</v>
      </c>
      <c r="N17" s="265">
        <v>393795.96327561833</v>
      </c>
      <c r="O17" s="265">
        <v>489411.97536852717</v>
      </c>
      <c r="P17" s="265">
        <v>511284.02843626984</v>
      </c>
      <c r="Q17" s="506" t="s">
        <v>306</v>
      </c>
      <c r="R17" s="172"/>
      <c r="S17" s="172"/>
      <c r="T17" s="172"/>
      <c r="U17" s="172"/>
      <c r="V17" s="172"/>
      <c r="W17" s="172"/>
      <c r="X17" s="172"/>
      <c r="Y17" s="172"/>
      <c r="Z17" s="172"/>
      <c r="AA17" s="172"/>
      <c r="AB17" s="172"/>
      <c r="AC17" s="172"/>
      <c r="AD17" s="172"/>
      <c r="AE17" s="172"/>
    </row>
    <row r="18" spans="2:31" ht="25.15" customHeight="1">
      <c r="B18" s="350" t="s">
        <v>98</v>
      </c>
      <c r="C18" s="351">
        <v>875260</v>
      </c>
      <c r="D18" s="351">
        <v>1160025</v>
      </c>
      <c r="E18" s="351">
        <v>1379075</v>
      </c>
      <c r="F18" s="351">
        <v>1440518</v>
      </c>
      <c r="G18" s="351">
        <v>1479019</v>
      </c>
      <c r="H18" s="351">
        <v>1316700</v>
      </c>
      <c r="I18" s="351">
        <v>1324400</v>
      </c>
      <c r="J18" s="351">
        <v>1403400</v>
      </c>
      <c r="K18" s="351">
        <v>1469800</v>
      </c>
      <c r="L18" s="351">
        <v>1486860</v>
      </c>
      <c r="M18" s="351">
        <v>1286393.6000000001</v>
      </c>
      <c r="N18" s="351">
        <v>1561385</v>
      </c>
      <c r="O18" s="351">
        <v>1916668.0000000002</v>
      </c>
      <c r="P18" s="351">
        <v>2050729.6666666665</v>
      </c>
      <c r="Q18" s="357" t="s">
        <v>95</v>
      </c>
      <c r="R18" s="172"/>
      <c r="S18" s="172"/>
      <c r="T18" s="172"/>
      <c r="U18" s="172"/>
      <c r="V18" s="172"/>
      <c r="W18" s="172"/>
      <c r="X18" s="172"/>
      <c r="Y18" s="172"/>
      <c r="Z18" s="172"/>
      <c r="AA18" s="172"/>
      <c r="AB18" s="172"/>
      <c r="AC18" s="172"/>
      <c r="AD18" s="172"/>
      <c r="AE18" s="172"/>
    </row>
    <row r="19" spans="2:31" ht="25.15" customHeight="1">
      <c r="B19" s="285" t="s">
        <v>166</v>
      </c>
      <c r="C19" s="265">
        <v>832160</v>
      </c>
      <c r="D19" s="265">
        <v>1113025</v>
      </c>
      <c r="E19" s="265">
        <v>1323735</v>
      </c>
      <c r="F19" s="265">
        <v>1362518</v>
      </c>
      <c r="G19" s="265">
        <v>1391519</v>
      </c>
      <c r="H19" s="265">
        <v>1093500</v>
      </c>
      <c r="I19" s="265">
        <v>1083500</v>
      </c>
      <c r="J19" s="265">
        <v>1144500</v>
      </c>
      <c r="K19" s="265">
        <v>1206000</v>
      </c>
      <c r="L19" s="265">
        <v>1155360</v>
      </c>
      <c r="M19" s="265">
        <v>999493.60000000009</v>
      </c>
      <c r="N19" s="265">
        <v>1187385</v>
      </c>
      <c r="O19" s="265">
        <v>1349668.0000000002</v>
      </c>
      <c r="P19" s="265">
        <v>1455629.6666666667</v>
      </c>
      <c r="Q19" s="46" t="s">
        <v>168</v>
      </c>
      <c r="R19" s="172"/>
      <c r="S19" s="172"/>
      <c r="T19" s="172"/>
      <c r="U19" s="172"/>
      <c r="V19" s="172"/>
      <c r="W19" s="172"/>
      <c r="X19" s="172"/>
      <c r="Y19" s="172"/>
      <c r="Z19" s="172"/>
      <c r="AA19" s="172"/>
      <c r="AB19" s="172"/>
      <c r="AC19" s="172"/>
      <c r="AD19" s="172"/>
      <c r="AE19" s="172"/>
    </row>
    <row r="20" spans="2:31" ht="25.15" customHeight="1">
      <c r="B20" s="354" t="s">
        <v>167</v>
      </c>
      <c r="C20" s="355">
        <v>43100</v>
      </c>
      <c r="D20" s="355">
        <v>47000</v>
      </c>
      <c r="E20" s="355">
        <v>55340</v>
      </c>
      <c r="F20" s="355">
        <v>78000</v>
      </c>
      <c r="G20" s="355">
        <v>87500</v>
      </c>
      <c r="H20" s="355">
        <v>223200</v>
      </c>
      <c r="I20" s="355">
        <v>240900</v>
      </c>
      <c r="J20" s="355">
        <v>258900</v>
      </c>
      <c r="K20" s="355">
        <v>263800</v>
      </c>
      <c r="L20" s="355">
        <v>331500</v>
      </c>
      <c r="M20" s="355">
        <v>286900</v>
      </c>
      <c r="N20" s="355">
        <v>374000</v>
      </c>
      <c r="O20" s="355">
        <v>567000</v>
      </c>
      <c r="P20" s="355">
        <v>595099.99999999988</v>
      </c>
      <c r="Q20" s="358" t="s">
        <v>169</v>
      </c>
      <c r="R20" s="172"/>
      <c r="S20" s="172"/>
      <c r="T20" s="172"/>
      <c r="U20" s="172"/>
      <c r="V20" s="172"/>
      <c r="W20" s="172"/>
      <c r="X20" s="172"/>
      <c r="Y20" s="172"/>
      <c r="Z20" s="172"/>
      <c r="AA20" s="172"/>
      <c r="AB20" s="172"/>
      <c r="AC20" s="172"/>
      <c r="AD20" s="172"/>
      <c r="AE20" s="172"/>
    </row>
    <row r="21" spans="2:31" ht="25.15" customHeight="1">
      <c r="B21" s="17" t="s">
        <v>97</v>
      </c>
      <c r="C21" s="265">
        <v>655948</v>
      </c>
      <c r="D21" s="265">
        <v>793161</v>
      </c>
      <c r="E21" s="265">
        <v>880477</v>
      </c>
      <c r="F21" s="265">
        <v>927341</v>
      </c>
      <c r="G21" s="265">
        <v>1010345</v>
      </c>
      <c r="H21" s="265">
        <v>987900</v>
      </c>
      <c r="I21" s="265">
        <v>994200</v>
      </c>
      <c r="J21" s="265">
        <v>1047900</v>
      </c>
      <c r="K21" s="265">
        <v>1033940</v>
      </c>
      <c r="L21" s="265">
        <v>1123800</v>
      </c>
      <c r="M21" s="265">
        <v>1091570.4715602342</v>
      </c>
      <c r="N21" s="265">
        <v>1276300</v>
      </c>
      <c r="O21" s="265">
        <v>1571800</v>
      </c>
      <c r="P21" s="265">
        <v>1769600</v>
      </c>
      <c r="Q21" s="18" t="s">
        <v>96</v>
      </c>
      <c r="R21" s="172"/>
      <c r="S21" s="172"/>
      <c r="T21" s="172"/>
      <c r="U21" s="172"/>
      <c r="V21" s="172"/>
      <c r="W21" s="172"/>
      <c r="X21" s="172"/>
      <c r="Y21" s="172"/>
      <c r="Z21" s="172"/>
      <c r="AA21" s="172"/>
      <c r="AB21" s="172"/>
      <c r="AC21" s="172"/>
      <c r="AD21" s="172"/>
      <c r="AE21" s="172"/>
    </row>
    <row r="22" spans="2:31" ht="25.15" customHeight="1">
      <c r="B22" s="285" t="s">
        <v>170</v>
      </c>
      <c r="C22" s="265">
        <v>501337</v>
      </c>
      <c r="D22" s="265">
        <v>585397</v>
      </c>
      <c r="E22" s="265">
        <v>648567</v>
      </c>
      <c r="F22" s="265">
        <v>698941</v>
      </c>
      <c r="G22" s="265">
        <v>772145</v>
      </c>
      <c r="H22" s="265">
        <v>687200</v>
      </c>
      <c r="I22" s="265">
        <v>686300</v>
      </c>
      <c r="J22" s="265">
        <v>784200</v>
      </c>
      <c r="K22" s="265">
        <v>768340</v>
      </c>
      <c r="L22" s="265">
        <v>799900</v>
      </c>
      <c r="M22" s="265">
        <v>864370.4715602342</v>
      </c>
      <c r="N22" s="265">
        <v>996800.00000000012</v>
      </c>
      <c r="O22" s="265">
        <v>1215900</v>
      </c>
      <c r="P22" s="265">
        <v>1383300</v>
      </c>
      <c r="Q22" s="46" t="s">
        <v>172</v>
      </c>
      <c r="R22" s="172"/>
      <c r="S22" s="172"/>
      <c r="T22" s="172"/>
      <c r="U22" s="172"/>
      <c r="V22" s="172"/>
      <c r="W22" s="172"/>
      <c r="X22" s="172"/>
      <c r="Y22" s="172"/>
      <c r="Z22" s="172"/>
      <c r="AA22" s="172"/>
      <c r="AB22" s="172"/>
      <c r="AC22" s="172"/>
      <c r="AD22" s="172"/>
      <c r="AE22" s="172"/>
    </row>
    <row r="23" spans="2:31" ht="25.15" customHeight="1">
      <c r="B23" s="285" t="s">
        <v>171</v>
      </c>
      <c r="C23" s="265">
        <v>154611</v>
      </c>
      <c r="D23" s="265">
        <v>207764</v>
      </c>
      <c r="E23" s="265">
        <v>231910</v>
      </c>
      <c r="F23" s="265">
        <v>228400</v>
      </c>
      <c r="G23" s="265">
        <v>238200</v>
      </c>
      <c r="H23" s="265">
        <v>300700</v>
      </c>
      <c r="I23" s="265">
        <v>307900</v>
      </c>
      <c r="J23" s="265">
        <v>263700</v>
      </c>
      <c r="K23" s="265">
        <v>265600</v>
      </c>
      <c r="L23" s="265">
        <v>323900</v>
      </c>
      <c r="M23" s="265">
        <v>227200</v>
      </c>
      <c r="N23" s="265">
        <v>279500</v>
      </c>
      <c r="O23" s="265">
        <v>355900</v>
      </c>
      <c r="P23" s="265">
        <v>386300</v>
      </c>
      <c r="Q23" s="46" t="s">
        <v>173</v>
      </c>
      <c r="R23" s="172"/>
      <c r="S23" s="172"/>
      <c r="T23" s="172"/>
      <c r="U23" s="172"/>
      <c r="V23" s="172"/>
      <c r="W23" s="172"/>
      <c r="X23" s="172"/>
      <c r="Y23" s="172"/>
      <c r="Z23" s="172"/>
      <c r="AA23" s="172"/>
      <c r="AB23" s="172"/>
      <c r="AC23" s="172"/>
      <c r="AD23" s="172"/>
      <c r="AE23" s="172"/>
    </row>
    <row r="24" spans="2:31" ht="25.15" customHeight="1" thickBot="1">
      <c r="B24" s="359" t="s">
        <v>66</v>
      </c>
      <c r="C24" s="360">
        <v>299702.8824729448</v>
      </c>
      <c r="D24" s="360">
        <v>322723.94517097709</v>
      </c>
      <c r="E24" s="360">
        <v>349207.8372657799</v>
      </c>
      <c r="F24" s="360">
        <v>394020.7960615987</v>
      </c>
      <c r="G24" s="360">
        <v>420167.99505070079</v>
      </c>
      <c r="H24" s="360">
        <v>442107.2408384165</v>
      </c>
      <c r="I24" s="360">
        <v>472266.59374641813</v>
      </c>
      <c r="J24" s="360">
        <v>496465.72724920255</v>
      </c>
      <c r="K24" s="360">
        <v>517174.48004846857</v>
      </c>
      <c r="L24" s="360">
        <v>528851.45460378914</v>
      </c>
      <c r="M24" s="360">
        <v>508981.43345854525</v>
      </c>
      <c r="N24" s="360">
        <v>536310.8123929291</v>
      </c>
      <c r="O24" s="360">
        <v>593831.99346991756</v>
      </c>
      <c r="P24" s="360">
        <v>624209.58586518047</v>
      </c>
      <c r="Q24" s="361" t="s">
        <v>112</v>
      </c>
    </row>
    <row r="25" spans="2:31" s="101" customFormat="1" ht="24.95" customHeight="1">
      <c r="B25" s="534" t="s">
        <v>326</v>
      </c>
      <c r="C25" s="534"/>
      <c r="D25" s="334"/>
      <c r="E25" s="334"/>
      <c r="F25" s="334"/>
      <c r="G25" s="334"/>
      <c r="H25" s="334"/>
      <c r="I25" s="334"/>
      <c r="J25" s="334"/>
      <c r="K25" s="334"/>
      <c r="L25" s="334"/>
      <c r="M25" s="334"/>
      <c r="N25" s="334"/>
      <c r="O25" s="334"/>
      <c r="P25" s="334"/>
      <c r="Q25" s="313" t="s">
        <v>327</v>
      </c>
    </row>
    <row r="26" spans="2:31" s="101" customFormat="1" ht="24.95" customHeight="1">
      <c r="B26" s="535" t="s">
        <v>191</v>
      </c>
      <c r="C26" s="535"/>
      <c r="D26" s="335"/>
      <c r="E26" s="335"/>
      <c r="F26" s="336"/>
      <c r="G26" s="336"/>
      <c r="N26" s="337"/>
      <c r="O26" s="337"/>
      <c r="P26" s="337"/>
      <c r="Q26" s="313" t="s">
        <v>193</v>
      </c>
    </row>
    <row r="27" spans="2:31" s="14" customFormat="1" ht="24.95" customHeight="1">
      <c r="B27" s="81" t="s">
        <v>192</v>
      </c>
      <c r="C27" s="81"/>
      <c r="D27" s="338"/>
      <c r="E27" s="338"/>
      <c r="F27" s="339"/>
      <c r="G27" s="340"/>
      <c r="K27" s="102"/>
      <c r="L27" s="102"/>
      <c r="M27" s="102"/>
      <c r="N27" s="102"/>
      <c r="O27" s="102"/>
      <c r="P27" s="102"/>
      <c r="Q27" s="81" t="s">
        <v>551</v>
      </c>
    </row>
    <row r="28" spans="2:31" s="102" customFormat="1" ht="24.95" customHeight="1">
      <c r="B28" s="341"/>
      <c r="C28" s="342"/>
      <c r="D28" s="342"/>
      <c r="E28" s="342"/>
      <c r="F28" s="342"/>
      <c r="G28" s="342"/>
      <c r="H28" s="342"/>
      <c r="I28" s="342"/>
      <c r="J28" s="342"/>
      <c r="K28" s="342"/>
      <c r="L28" s="342"/>
      <c r="M28" s="342"/>
      <c r="N28" s="342"/>
      <c r="O28" s="342"/>
      <c r="P28" s="342"/>
      <c r="Q28" s="341"/>
    </row>
    <row r="29" spans="2:31" ht="25.15" customHeight="1">
      <c r="B29" s="549" t="s">
        <v>453</v>
      </c>
      <c r="C29" s="549"/>
      <c r="D29" s="549"/>
      <c r="E29" s="549"/>
      <c r="F29" s="549"/>
      <c r="G29" s="549"/>
      <c r="H29" s="549"/>
      <c r="I29" s="549"/>
      <c r="J29" s="549"/>
      <c r="K29" s="549"/>
      <c r="L29" s="549"/>
      <c r="M29" s="549"/>
      <c r="N29" s="549"/>
      <c r="O29" s="549"/>
      <c r="P29" s="549"/>
      <c r="Q29" s="549"/>
    </row>
    <row r="30" spans="2:31" ht="25.15" customHeight="1">
      <c r="B30" s="511" t="s">
        <v>440</v>
      </c>
      <c r="C30" s="511"/>
      <c r="D30" s="511"/>
      <c r="E30" s="511"/>
      <c r="F30" s="511"/>
      <c r="G30" s="511"/>
      <c r="H30" s="511"/>
      <c r="I30" s="511"/>
      <c r="J30" s="511"/>
      <c r="K30" s="511"/>
      <c r="L30" s="511"/>
      <c r="M30" s="511"/>
      <c r="N30" s="511"/>
      <c r="O30" s="511"/>
      <c r="P30" s="511"/>
      <c r="Q30" s="511"/>
    </row>
    <row r="31" spans="2:31" s="145" customFormat="1" ht="25.15" customHeight="1">
      <c r="Q31" s="64" t="s">
        <v>430</v>
      </c>
    </row>
    <row r="32" spans="2:31" ht="25.15" customHeight="1">
      <c r="B32" s="183" t="s">
        <v>2</v>
      </c>
      <c r="C32" s="49">
        <v>2010</v>
      </c>
      <c r="D32" s="49">
        <v>2011</v>
      </c>
      <c r="E32" s="49">
        <v>2012</v>
      </c>
      <c r="F32" s="49">
        <v>2013</v>
      </c>
      <c r="G32" s="49">
        <v>2014</v>
      </c>
      <c r="H32" s="49">
        <v>2015</v>
      </c>
      <c r="I32" s="49">
        <v>2016</v>
      </c>
      <c r="J32" s="49">
        <v>2017</v>
      </c>
      <c r="K32" s="49">
        <v>2018</v>
      </c>
      <c r="L32" s="49">
        <v>2019</v>
      </c>
      <c r="M32" s="49">
        <v>2020</v>
      </c>
      <c r="N32" s="49">
        <v>2021</v>
      </c>
      <c r="O32" s="49" t="s">
        <v>185</v>
      </c>
      <c r="P32" s="49" t="s">
        <v>186</v>
      </c>
      <c r="Q32" s="49" t="s">
        <v>18</v>
      </c>
    </row>
    <row r="33" spans="2:31" ht="25.15" customHeight="1">
      <c r="B33" s="17" t="s">
        <v>85</v>
      </c>
      <c r="C33" s="346">
        <v>133.40210042011014</v>
      </c>
      <c r="D33" s="346">
        <v>157.86933958907807</v>
      </c>
      <c r="E33" s="346">
        <v>165.65919309357236</v>
      </c>
      <c r="F33" s="346">
        <v>169.69680234398299</v>
      </c>
      <c r="G33" s="346">
        <v>172.8411684473102</v>
      </c>
      <c r="H33" s="346">
        <v>152.12446774760815</v>
      </c>
      <c r="I33" s="346">
        <v>148.67507475752527</v>
      </c>
      <c r="J33" s="346">
        <v>154.14125812791264</v>
      </c>
      <c r="K33" s="346">
        <v>167.43544768500857</v>
      </c>
      <c r="L33" s="346">
        <v>161.47066859391433</v>
      </c>
      <c r="M33" s="346">
        <v>138.21957374082743</v>
      </c>
      <c r="N33" s="346">
        <v>154.64093108930084</v>
      </c>
      <c r="O33" s="346">
        <v>179.57563736541724</v>
      </c>
      <c r="P33" s="346">
        <v>176.79651672991432</v>
      </c>
      <c r="Q33" s="18" t="s">
        <v>20</v>
      </c>
      <c r="R33" s="135"/>
      <c r="S33" s="135"/>
      <c r="T33" s="135"/>
      <c r="U33" s="135"/>
      <c r="V33" s="135"/>
      <c r="W33" s="135"/>
      <c r="X33" s="135"/>
      <c r="Y33" s="135"/>
      <c r="Z33" s="135"/>
      <c r="AA33" s="135"/>
      <c r="AB33" s="135"/>
      <c r="AC33" s="135"/>
      <c r="AD33" s="135"/>
      <c r="AE33" s="135"/>
    </row>
    <row r="34" spans="2:31" ht="25.15" customHeight="1">
      <c r="B34" s="17" t="s">
        <v>311</v>
      </c>
      <c r="C34" s="346">
        <v>133.40210042011014</v>
      </c>
      <c r="D34" s="346">
        <v>139.50094422992339</v>
      </c>
      <c r="E34" s="346">
        <v>139.84029230607453</v>
      </c>
      <c r="F34" s="346">
        <v>144.62154680151679</v>
      </c>
      <c r="G34" s="346">
        <v>148.29194891745095</v>
      </c>
      <c r="H34" s="346">
        <v>155.87369512907722</v>
      </c>
      <c r="I34" s="346">
        <v>161.25589959901103</v>
      </c>
      <c r="J34" s="346">
        <v>159.24436571119239</v>
      </c>
      <c r="K34" s="346">
        <v>160.25930472556445</v>
      </c>
      <c r="L34" s="346">
        <v>159.6500471957103</v>
      </c>
      <c r="M34" s="346">
        <v>155.35198583805439</v>
      </c>
      <c r="N34" s="346">
        <v>152.67307232443451</v>
      </c>
      <c r="O34" s="346">
        <v>157.4097871587727</v>
      </c>
      <c r="P34" s="346">
        <v>157.02158194404947</v>
      </c>
      <c r="Q34" s="18" t="s">
        <v>312</v>
      </c>
      <c r="R34" s="135"/>
      <c r="S34" s="135"/>
      <c r="T34" s="135"/>
      <c r="U34" s="135"/>
      <c r="V34" s="135"/>
      <c r="W34" s="135"/>
      <c r="X34" s="135"/>
      <c r="Y34" s="135"/>
      <c r="Z34" s="135"/>
      <c r="AA34" s="135"/>
      <c r="AB34" s="135"/>
      <c r="AC34" s="135"/>
      <c r="AD34" s="135"/>
      <c r="AE34" s="135"/>
    </row>
    <row r="35" spans="2:31" ht="25.15" customHeight="1">
      <c r="B35" s="56" t="s">
        <v>153</v>
      </c>
      <c r="C35" s="346">
        <v>133.36483064867789</v>
      </c>
      <c r="D35" s="346">
        <v>157.92854841383769</v>
      </c>
      <c r="E35" s="346">
        <v>165.78820378679958</v>
      </c>
      <c r="F35" s="346">
        <v>169.89307671014669</v>
      </c>
      <c r="G35" s="346">
        <v>173.116204670831</v>
      </c>
      <c r="H35" s="346">
        <v>152.84043358440331</v>
      </c>
      <c r="I35" s="346">
        <v>149.51926498011412</v>
      </c>
      <c r="J35" s="346">
        <v>155.23752815512699</v>
      </c>
      <c r="K35" s="346">
        <v>167.99380105714266</v>
      </c>
      <c r="L35" s="346">
        <v>162.26704806470715</v>
      </c>
      <c r="M35" s="346">
        <v>137.47648070978002</v>
      </c>
      <c r="N35" s="346">
        <v>154.36709464065532</v>
      </c>
      <c r="O35" s="346">
        <v>179.59509003158507</v>
      </c>
      <c r="P35" s="346">
        <v>178.1167713648976</v>
      </c>
      <c r="Q35" s="18" t="s">
        <v>89</v>
      </c>
      <c r="R35" s="135"/>
      <c r="S35" s="135"/>
      <c r="T35" s="135"/>
      <c r="U35" s="135"/>
      <c r="V35" s="135"/>
      <c r="W35" s="135"/>
      <c r="X35" s="135"/>
      <c r="Y35" s="135"/>
      <c r="Z35" s="135"/>
      <c r="AA35" s="135"/>
      <c r="AB35" s="135"/>
      <c r="AC35" s="135"/>
      <c r="AD35" s="135"/>
      <c r="AE35" s="135"/>
    </row>
    <row r="36" spans="2:31" ht="25.15" customHeight="1">
      <c r="B36" s="17" t="s">
        <v>313</v>
      </c>
      <c r="C36" s="346">
        <v>126.9840461302045</v>
      </c>
      <c r="D36" s="346">
        <v>151.51538533286288</v>
      </c>
      <c r="E36" s="346">
        <v>159.60090288453867</v>
      </c>
      <c r="F36" s="346">
        <v>164.88836008056705</v>
      </c>
      <c r="G36" s="346">
        <v>167.66407963666248</v>
      </c>
      <c r="H36" s="346">
        <v>146.90759522319641</v>
      </c>
      <c r="I36" s="346">
        <v>144.25501872258954</v>
      </c>
      <c r="J36" s="346">
        <v>148.80859275451482</v>
      </c>
      <c r="K36" s="346">
        <v>160.96519935530063</v>
      </c>
      <c r="L36" s="346">
        <v>155.4297563162354</v>
      </c>
      <c r="M36" s="346">
        <v>132.36452625312151</v>
      </c>
      <c r="N36" s="346">
        <v>149.10678095383744</v>
      </c>
      <c r="O36" s="346">
        <v>174.58481332430031</v>
      </c>
      <c r="P36" s="346">
        <v>172.98056659931746</v>
      </c>
      <c r="Q36" s="18" t="s">
        <v>90</v>
      </c>
      <c r="R36" s="135"/>
      <c r="S36" s="135"/>
      <c r="T36" s="135"/>
      <c r="U36" s="135"/>
      <c r="V36" s="135"/>
      <c r="W36" s="135"/>
      <c r="X36" s="135"/>
      <c r="Y36" s="135"/>
      <c r="Z36" s="135"/>
      <c r="AA36" s="135"/>
      <c r="AB36" s="135"/>
      <c r="AC36" s="135"/>
      <c r="AD36" s="135"/>
      <c r="AE36" s="135"/>
    </row>
    <row r="37" spans="2:31" ht="25.15" customHeight="1">
      <c r="B37" s="56" t="s">
        <v>4</v>
      </c>
      <c r="C37" s="346">
        <v>124.74922114875837</v>
      </c>
      <c r="D37" s="346">
        <v>148.29073367932256</v>
      </c>
      <c r="E37" s="346">
        <v>155.24451167668309</v>
      </c>
      <c r="F37" s="346">
        <v>158.6881310579414</v>
      </c>
      <c r="G37" s="346">
        <v>161.33056153896851</v>
      </c>
      <c r="H37" s="346">
        <v>136.55221079731388</v>
      </c>
      <c r="I37" s="346">
        <v>133.77566550430143</v>
      </c>
      <c r="J37" s="346">
        <v>138.9761894181139</v>
      </c>
      <c r="K37" s="346">
        <v>149.9161764866904</v>
      </c>
      <c r="L37" s="346">
        <v>143.96664857116636</v>
      </c>
      <c r="M37" s="346">
        <v>116.27140566438405</v>
      </c>
      <c r="N37" s="346">
        <v>133.49467199945207</v>
      </c>
      <c r="O37" s="346">
        <v>157.59412459576316</v>
      </c>
      <c r="P37" s="346">
        <v>155.5658390310376</v>
      </c>
      <c r="Q37" s="18" t="s">
        <v>303</v>
      </c>
      <c r="R37" s="135"/>
      <c r="S37" s="135"/>
      <c r="T37" s="135"/>
      <c r="U37" s="135"/>
      <c r="V37" s="135"/>
      <c r="W37" s="135"/>
      <c r="X37" s="135"/>
      <c r="Y37" s="135"/>
      <c r="Z37" s="135"/>
      <c r="AA37" s="135"/>
      <c r="AB37" s="135"/>
      <c r="AC37" s="135"/>
      <c r="AD37" s="135"/>
      <c r="AE37" s="135"/>
    </row>
    <row r="38" spans="2:31" ht="25.15" customHeight="1">
      <c r="B38" s="350" t="s">
        <v>307</v>
      </c>
      <c r="C38" s="363">
        <v>67.315207643223033</v>
      </c>
      <c r="D38" s="363">
        <v>74.181241814240082</v>
      </c>
      <c r="E38" s="363">
        <v>67.557083088321718</v>
      </c>
      <c r="F38" s="363">
        <v>73.728692208503048</v>
      </c>
      <c r="G38" s="363">
        <v>80.33943413588851</v>
      </c>
      <c r="H38" s="363">
        <v>81.376942382890917</v>
      </c>
      <c r="I38" s="363">
        <v>80.306794697174141</v>
      </c>
      <c r="J38" s="363">
        <v>83.129508181309944</v>
      </c>
      <c r="K38" s="363">
        <v>84.350955440763968</v>
      </c>
      <c r="L38" s="363">
        <v>84.416285732611115</v>
      </c>
      <c r="M38" s="363">
        <v>84.993111587734916</v>
      </c>
      <c r="N38" s="363">
        <v>85.78820811283876</v>
      </c>
      <c r="O38" s="363">
        <v>98.430788108647434</v>
      </c>
      <c r="P38" s="363">
        <v>102.59879660339682</v>
      </c>
      <c r="Q38" s="352" t="s">
        <v>99</v>
      </c>
      <c r="R38" s="135"/>
      <c r="S38" s="135"/>
      <c r="T38" s="135"/>
      <c r="U38" s="135"/>
      <c r="V38" s="135"/>
      <c r="W38" s="135"/>
      <c r="X38" s="135"/>
      <c r="Y38" s="135"/>
      <c r="Z38" s="135"/>
      <c r="AA38" s="135"/>
      <c r="AB38" s="135"/>
      <c r="AC38" s="135"/>
      <c r="AD38" s="135"/>
      <c r="AE38" s="135"/>
    </row>
    <row r="39" spans="2:31" ht="25.15" customHeight="1">
      <c r="B39" s="47" t="s">
        <v>180</v>
      </c>
      <c r="C39" s="346">
        <v>54.397229035522876</v>
      </c>
      <c r="D39" s="346">
        <v>58.910740501668251</v>
      </c>
      <c r="E39" s="346">
        <v>51.857642818806653</v>
      </c>
      <c r="F39" s="346">
        <v>55.559389054397442</v>
      </c>
      <c r="G39" s="346">
        <v>61.945131101079333</v>
      </c>
      <c r="H39" s="346">
        <v>63.089944344861053</v>
      </c>
      <c r="I39" s="346">
        <v>62.29883364115009</v>
      </c>
      <c r="J39" s="346">
        <v>63.020584081135375</v>
      </c>
      <c r="K39" s="346">
        <v>63.40481199590608</v>
      </c>
      <c r="L39" s="346">
        <v>63.283764209459093</v>
      </c>
      <c r="M39" s="346">
        <v>64.011982183477002</v>
      </c>
      <c r="N39" s="346">
        <v>63.193786333017449</v>
      </c>
      <c r="O39" s="346">
        <v>75.718922074089392</v>
      </c>
      <c r="P39" s="346">
        <v>80.64208089303699</v>
      </c>
      <c r="Q39" s="203" t="s">
        <v>195</v>
      </c>
      <c r="R39" s="135"/>
      <c r="S39" s="135"/>
      <c r="T39" s="135"/>
      <c r="U39" s="135"/>
      <c r="V39" s="135"/>
      <c r="W39" s="135"/>
      <c r="X39" s="135"/>
      <c r="Y39" s="135"/>
      <c r="Z39" s="135"/>
      <c r="AA39" s="135"/>
      <c r="AB39" s="135"/>
      <c r="AC39" s="135"/>
      <c r="AD39" s="135"/>
      <c r="AE39" s="135"/>
    </row>
    <row r="40" spans="2:31" ht="25.15" customHeight="1">
      <c r="B40" s="364" t="s">
        <v>194</v>
      </c>
      <c r="C40" s="365">
        <v>12.917978607700155</v>
      </c>
      <c r="D40" s="365">
        <v>15.270501312571833</v>
      </c>
      <c r="E40" s="365">
        <v>15.699440269515069</v>
      </c>
      <c r="F40" s="365">
        <v>18.169303154105616</v>
      </c>
      <c r="G40" s="365">
        <v>18.394303034809187</v>
      </c>
      <c r="H40" s="365">
        <v>18.286998038029868</v>
      </c>
      <c r="I40" s="365">
        <v>18.007961056024048</v>
      </c>
      <c r="J40" s="365">
        <v>20.108924100174576</v>
      </c>
      <c r="K40" s="365">
        <v>20.946143444857885</v>
      </c>
      <c r="L40" s="365">
        <v>21.132521523152022</v>
      </c>
      <c r="M40" s="365">
        <v>20.981129404257899</v>
      </c>
      <c r="N40" s="365">
        <v>22.59442177982131</v>
      </c>
      <c r="O40" s="365">
        <v>22.711866034558035</v>
      </c>
      <c r="P40" s="365">
        <v>21.956715710359816</v>
      </c>
      <c r="Q40" s="366" t="s">
        <v>196</v>
      </c>
      <c r="R40" s="135"/>
      <c r="S40" s="135"/>
      <c r="T40" s="135"/>
      <c r="U40" s="135"/>
      <c r="V40" s="135"/>
      <c r="W40" s="135"/>
      <c r="X40" s="135"/>
      <c r="Y40" s="135"/>
      <c r="Z40" s="135"/>
      <c r="AA40" s="135"/>
      <c r="AB40" s="135"/>
      <c r="AC40" s="135"/>
      <c r="AD40" s="135"/>
      <c r="AE40" s="135"/>
    </row>
    <row r="41" spans="2:31" ht="25.15" customHeight="1">
      <c r="B41" s="17" t="s">
        <v>304</v>
      </c>
      <c r="C41" s="346">
        <v>57.43401350553534</v>
      </c>
      <c r="D41" s="346">
        <v>74.109491865082475</v>
      </c>
      <c r="E41" s="346">
        <v>87.687428588361385</v>
      </c>
      <c r="F41" s="346">
        <v>84.959438849438357</v>
      </c>
      <c r="G41" s="346">
        <v>80.991127403080014</v>
      </c>
      <c r="H41" s="346">
        <v>55.175268414422952</v>
      </c>
      <c r="I41" s="346">
        <v>53.468870807127281</v>
      </c>
      <c r="J41" s="346">
        <v>55.84668123680396</v>
      </c>
      <c r="K41" s="346">
        <v>65.56522104592645</v>
      </c>
      <c r="L41" s="346">
        <v>59.550362838555252</v>
      </c>
      <c r="M41" s="346">
        <v>31.278294076649132</v>
      </c>
      <c r="N41" s="346">
        <v>47.706463886613292</v>
      </c>
      <c r="O41" s="346">
        <v>59.163336487115714</v>
      </c>
      <c r="P41" s="346">
        <v>52.967042427640791</v>
      </c>
      <c r="Q41" s="18" t="s">
        <v>314</v>
      </c>
      <c r="R41" s="135"/>
      <c r="S41" s="135"/>
      <c r="T41" s="135"/>
      <c r="U41" s="135"/>
      <c r="V41" s="135"/>
      <c r="W41" s="135"/>
      <c r="X41" s="135"/>
      <c r="Y41" s="135"/>
      <c r="Z41" s="135"/>
      <c r="AA41" s="135"/>
      <c r="AB41" s="135"/>
      <c r="AC41" s="135"/>
      <c r="AD41" s="135"/>
      <c r="AE41" s="135"/>
    </row>
    <row r="42" spans="2:31" ht="25.15" customHeight="1">
      <c r="B42" s="17" t="s">
        <v>208</v>
      </c>
      <c r="C42" s="346">
        <v>39.548879425112496</v>
      </c>
      <c r="D42" s="346">
        <v>39.982692771585064</v>
      </c>
      <c r="E42" s="346">
        <v>39.625315803694875</v>
      </c>
      <c r="F42" s="346">
        <v>36.718998132667458</v>
      </c>
      <c r="G42" s="346">
        <v>39.236309922004914</v>
      </c>
      <c r="H42" s="346">
        <v>33.964780499366938</v>
      </c>
      <c r="I42" s="346">
        <v>32.166772073489376</v>
      </c>
      <c r="J42" s="346">
        <v>32.803515174572603</v>
      </c>
      <c r="K42" s="346">
        <v>36.552197640350911</v>
      </c>
      <c r="L42" s="346">
        <v>38.864824180752159</v>
      </c>
      <c r="M42" s="346">
        <v>32.245055047231347</v>
      </c>
      <c r="N42" s="346">
        <v>39.939143731236456</v>
      </c>
      <c r="O42" s="346">
        <v>47.601838876924361</v>
      </c>
      <c r="P42" s="346">
        <v>47.874121158575861</v>
      </c>
      <c r="Q42" s="18" t="s">
        <v>315</v>
      </c>
      <c r="R42" s="135"/>
      <c r="S42" s="135"/>
      <c r="T42" s="135"/>
      <c r="U42" s="135"/>
      <c r="V42" s="135"/>
      <c r="W42" s="135"/>
      <c r="X42" s="135"/>
      <c r="Y42" s="135"/>
      <c r="Z42" s="135"/>
      <c r="AA42" s="135"/>
      <c r="AB42" s="135"/>
      <c r="AC42" s="135"/>
      <c r="AD42" s="135"/>
      <c r="AE42" s="135"/>
    </row>
    <row r="43" spans="2:31" ht="25.15" customHeight="1">
      <c r="B43" s="17" t="s">
        <v>176</v>
      </c>
      <c r="C43" s="346">
        <v>105.91149397330855</v>
      </c>
      <c r="D43" s="346">
        <v>138.19661356496809</v>
      </c>
      <c r="E43" s="346">
        <v>161.74129251122247</v>
      </c>
      <c r="F43" s="346">
        <v>166.31573964551697</v>
      </c>
      <c r="G43" s="346">
        <v>168.09247945269155</v>
      </c>
      <c r="H43" s="346">
        <v>147.29878395440014</v>
      </c>
      <c r="I43" s="346">
        <v>145.20071828528083</v>
      </c>
      <c r="J43" s="346">
        <v>150.83385845025896</v>
      </c>
      <c r="K43" s="346">
        <v>156.9154467232664</v>
      </c>
      <c r="L43" s="346">
        <v>156.39984360646767</v>
      </c>
      <c r="M43" s="346">
        <v>138.53769845564807</v>
      </c>
      <c r="N43" s="346">
        <v>158.35708272903378</v>
      </c>
      <c r="O43" s="346">
        <v>186.42151379286435</v>
      </c>
      <c r="P43" s="346">
        <v>192.02023741237082</v>
      </c>
      <c r="Q43" s="18" t="s">
        <v>91</v>
      </c>
      <c r="R43" s="135"/>
      <c r="S43" s="135"/>
      <c r="T43" s="135"/>
      <c r="U43" s="135"/>
      <c r="V43" s="135"/>
      <c r="W43" s="135"/>
      <c r="X43" s="135"/>
      <c r="Y43" s="135"/>
      <c r="Z43" s="135"/>
      <c r="AA43" s="135"/>
      <c r="AB43" s="135"/>
      <c r="AC43" s="135"/>
      <c r="AD43" s="135"/>
      <c r="AE43" s="135"/>
    </row>
    <row r="44" spans="2:31" ht="25.15" customHeight="1" thickBot="1">
      <c r="B44" s="82" t="s">
        <v>177</v>
      </c>
      <c r="C44" s="362">
        <v>79.373480621533943</v>
      </c>
      <c r="D44" s="362">
        <v>94.491208561715183</v>
      </c>
      <c r="E44" s="362">
        <v>103.26449830966672</v>
      </c>
      <c r="F44" s="362">
        <v>107.06662764270446</v>
      </c>
      <c r="G44" s="362">
        <v>114.82705506327481</v>
      </c>
      <c r="H44" s="362">
        <v>110.51603908904981</v>
      </c>
      <c r="I44" s="362">
        <v>108.99921029841906</v>
      </c>
      <c r="J44" s="362">
        <v>112.62562367822883</v>
      </c>
      <c r="K44" s="362">
        <v>110.38315211937275</v>
      </c>
      <c r="L44" s="362">
        <v>118.21028492591661</v>
      </c>
      <c r="M44" s="362">
        <v>117.55629134978693</v>
      </c>
      <c r="N44" s="362">
        <v>129.44350348380814</v>
      </c>
      <c r="O44" s="362">
        <v>152.8785034130189</v>
      </c>
      <c r="P44" s="362">
        <v>165.69663844442917</v>
      </c>
      <c r="Q44" s="83" t="s">
        <v>92</v>
      </c>
      <c r="R44" s="135"/>
      <c r="S44" s="135"/>
      <c r="T44" s="135"/>
      <c r="U44" s="135"/>
      <c r="V44" s="135"/>
      <c r="W44" s="135"/>
      <c r="X44" s="135"/>
      <c r="Y44" s="135"/>
      <c r="Z44" s="135"/>
      <c r="AA44" s="135"/>
      <c r="AB44" s="135"/>
      <c r="AC44" s="135"/>
      <c r="AD44" s="135"/>
      <c r="AE44" s="135"/>
    </row>
    <row r="45" spans="2:31" s="93" customFormat="1" ht="24.95" customHeight="1">
      <c r="B45" s="534" t="s">
        <v>326</v>
      </c>
      <c r="C45" s="534"/>
      <c r="D45" s="334"/>
      <c r="E45" s="334"/>
      <c r="F45" s="334"/>
      <c r="G45" s="334"/>
      <c r="H45" s="334"/>
      <c r="I45" s="334"/>
      <c r="J45" s="334"/>
      <c r="K45" s="334"/>
      <c r="L45" s="334"/>
      <c r="M45" s="334"/>
      <c r="N45" s="334"/>
      <c r="O45" s="334"/>
      <c r="P45" s="334"/>
      <c r="Q45" s="313" t="s">
        <v>327</v>
      </c>
    </row>
    <row r="46" spans="2:31" s="102" customFormat="1" ht="24.95" customHeight="1">
      <c r="B46" s="535" t="s">
        <v>399</v>
      </c>
      <c r="C46" s="535"/>
      <c r="D46" s="335"/>
      <c r="E46" s="335"/>
      <c r="F46" s="336"/>
      <c r="G46" s="336"/>
      <c r="H46" s="101"/>
      <c r="I46" s="101"/>
      <c r="J46" s="101"/>
      <c r="K46" s="101"/>
      <c r="L46" s="101"/>
      <c r="M46" s="101"/>
      <c r="N46" s="337"/>
      <c r="O46" s="337"/>
      <c r="P46" s="337"/>
      <c r="Q46" s="313" t="s">
        <v>193</v>
      </c>
    </row>
    <row r="47" spans="2:31" s="102" customFormat="1" ht="24.95" customHeight="1">
      <c r="B47" s="81" t="s">
        <v>192</v>
      </c>
      <c r="C47" s="81"/>
      <c r="D47" s="338"/>
      <c r="E47" s="338"/>
      <c r="F47" s="339"/>
      <c r="G47" s="340"/>
      <c r="H47" s="14"/>
      <c r="I47" s="14"/>
      <c r="J47" s="14"/>
      <c r="Q47" s="81" t="s">
        <v>551</v>
      </c>
    </row>
    <row r="48" spans="2:31" s="102" customFormat="1" ht="24.95" customHeight="1">
      <c r="B48" s="343"/>
      <c r="C48" s="344"/>
      <c r="D48" s="338"/>
      <c r="E48" s="338"/>
      <c r="F48" s="339"/>
      <c r="G48" s="340"/>
      <c r="H48" s="14"/>
      <c r="I48" s="14"/>
      <c r="J48" s="14"/>
      <c r="K48" s="14"/>
      <c r="L48" s="14"/>
      <c r="M48" s="14"/>
      <c r="N48" s="14"/>
      <c r="O48" s="14"/>
      <c r="P48" s="14"/>
      <c r="Q48" s="81"/>
    </row>
    <row r="49" spans="2:34" ht="25.15" customHeight="1">
      <c r="B49" s="547" t="s">
        <v>454</v>
      </c>
      <c r="C49" s="547"/>
      <c r="D49" s="547"/>
      <c r="E49" s="547"/>
      <c r="F49" s="547"/>
      <c r="G49" s="547"/>
      <c r="H49" s="547"/>
      <c r="I49" s="547"/>
      <c r="J49" s="547"/>
      <c r="K49" s="547"/>
      <c r="L49" s="547"/>
      <c r="M49" s="547"/>
      <c r="N49" s="547"/>
      <c r="O49" s="547"/>
      <c r="P49" s="547"/>
      <c r="Q49" s="547"/>
    </row>
    <row r="50" spans="2:34" ht="25.15" customHeight="1">
      <c r="B50" s="548" t="s">
        <v>354</v>
      </c>
      <c r="C50" s="548"/>
      <c r="D50" s="548"/>
      <c r="E50" s="548"/>
      <c r="F50" s="548"/>
      <c r="G50" s="548"/>
      <c r="H50" s="548"/>
      <c r="I50" s="548"/>
      <c r="J50" s="548"/>
      <c r="K50" s="548"/>
      <c r="L50" s="548"/>
      <c r="M50" s="548"/>
      <c r="N50" s="548"/>
      <c r="O50" s="548"/>
      <c r="P50" s="548"/>
      <c r="Q50" s="548"/>
    </row>
    <row r="51" spans="2:34" ht="25.15" customHeight="1">
      <c r="B51" s="293"/>
      <c r="C51" s="293"/>
      <c r="D51" s="293"/>
      <c r="E51" s="293"/>
      <c r="F51" s="293"/>
      <c r="G51" s="293"/>
      <c r="H51" s="293"/>
      <c r="I51" s="293"/>
      <c r="J51" s="293"/>
      <c r="K51" s="293"/>
      <c r="L51" s="293"/>
      <c r="M51" s="293"/>
      <c r="N51" s="293"/>
      <c r="O51" s="293"/>
      <c r="P51" s="293"/>
      <c r="Q51" s="299" t="s">
        <v>203</v>
      </c>
    </row>
    <row r="52" spans="2:34" ht="25.15" customHeight="1">
      <c r="B52" s="87" t="s">
        <v>1</v>
      </c>
      <c r="C52" s="181">
        <v>2010</v>
      </c>
      <c r="D52" s="181">
        <v>2011</v>
      </c>
      <c r="E52" s="181">
        <v>2012</v>
      </c>
      <c r="F52" s="181">
        <v>2013</v>
      </c>
      <c r="G52" s="181">
        <v>2014</v>
      </c>
      <c r="H52" s="181">
        <v>2015</v>
      </c>
      <c r="I52" s="181">
        <v>2016</v>
      </c>
      <c r="J52" s="181">
        <v>2017</v>
      </c>
      <c r="K52" s="5">
        <v>2018</v>
      </c>
      <c r="L52" s="181">
        <v>2019</v>
      </c>
      <c r="M52" s="181">
        <v>2020</v>
      </c>
      <c r="N52" s="181">
        <v>2021</v>
      </c>
      <c r="O52" s="181" t="s">
        <v>185</v>
      </c>
      <c r="P52" s="181" t="s">
        <v>186</v>
      </c>
      <c r="Q52" s="3" t="s">
        <v>17</v>
      </c>
    </row>
    <row r="53" spans="2:34" ht="25.15" customHeight="1">
      <c r="B53" s="233" t="s">
        <v>86</v>
      </c>
      <c r="C53" s="237" t="s">
        <v>116</v>
      </c>
      <c r="D53" s="347">
        <v>1.5724576389115841</v>
      </c>
      <c r="E53" s="347">
        <v>1.5773850404674938</v>
      </c>
      <c r="F53" s="347">
        <v>1.5823747936561938</v>
      </c>
      <c r="G53" s="347">
        <v>1.5874670735319008</v>
      </c>
      <c r="H53" s="347">
        <v>1.5926302111834989</v>
      </c>
      <c r="I53" s="347">
        <v>2.0381869328627511</v>
      </c>
      <c r="J53" s="347">
        <v>2.0075282033538144</v>
      </c>
      <c r="K53" s="347">
        <v>0.67228222031652241</v>
      </c>
      <c r="L53" s="347">
        <v>1.4941984629161631</v>
      </c>
      <c r="M53" s="347">
        <v>-2.3275371584532079</v>
      </c>
      <c r="N53" s="347">
        <v>6.1858402438292659</v>
      </c>
      <c r="O53" s="347">
        <v>4.2745565370845506</v>
      </c>
      <c r="P53" s="347">
        <v>3.8748835636350565</v>
      </c>
      <c r="Q53" s="18" t="s">
        <v>93</v>
      </c>
      <c r="AE53" s="173"/>
      <c r="AF53" s="173"/>
      <c r="AG53" s="173"/>
      <c r="AH53" s="173"/>
    </row>
    <row r="54" spans="2:34" ht="25.15" customHeight="1">
      <c r="B54" s="234" t="s">
        <v>85</v>
      </c>
      <c r="C54" s="238" t="s">
        <v>116</v>
      </c>
      <c r="D54" s="347">
        <v>20.201831585833887</v>
      </c>
      <c r="E54" s="347">
        <v>6.5895865920447383</v>
      </c>
      <c r="F54" s="347">
        <v>4.0582406269146887</v>
      </c>
      <c r="G54" s="347">
        <v>3.4698136090982379</v>
      </c>
      <c r="H54" s="347">
        <v>-10.584237905871575</v>
      </c>
      <c r="I54" s="347">
        <v>-0.27550929193483897</v>
      </c>
      <c r="J54" s="347">
        <v>5.7579339470796631</v>
      </c>
      <c r="K54" s="347">
        <v>9.3549439504531975</v>
      </c>
      <c r="L54" s="347">
        <v>-2.1214664469294209</v>
      </c>
      <c r="M54" s="347">
        <v>-16.391959618824458</v>
      </c>
      <c r="N54" s="347">
        <v>18.801387961126046</v>
      </c>
      <c r="O54" s="347">
        <v>21.088057471213297</v>
      </c>
      <c r="P54" s="347">
        <v>2.2673111965955117</v>
      </c>
      <c r="Q54" s="18" t="s">
        <v>88</v>
      </c>
      <c r="AE54" s="173"/>
      <c r="AF54" s="173"/>
      <c r="AG54" s="173"/>
      <c r="AH54" s="173"/>
    </row>
    <row r="55" spans="2:34" ht="25.15" customHeight="1">
      <c r="B55" s="17" t="s">
        <v>175</v>
      </c>
      <c r="C55" s="238" t="s">
        <v>116</v>
      </c>
      <c r="D55" s="347">
        <v>6.9827707540579764</v>
      </c>
      <c r="E55" s="347">
        <v>6.2662408015664584</v>
      </c>
      <c r="F55" s="347">
        <v>7.4921462925327198</v>
      </c>
      <c r="G55" s="347">
        <v>7.8136549447534565</v>
      </c>
      <c r="H55" s="347">
        <v>5.3814786720193242</v>
      </c>
      <c r="I55" s="347">
        <v>2.7204999753781989</v>
      </c>
      <c r="J55" s="347">
        <v>3.6196301874068082</v>
      </c>
      <c r="K55" s="347">
        <v>1.8568570751432478</v>
      </c>
      <c r="L55" s="347">
        <v>1.9484011494370845</v>
      </c>
      <c r="M55" s="347">
        <v>-10.782323444176733</v>
      </c>
      <c r="N55" s="347">
        <v>9.1131919429525929</v>
      </c>
      <c r="O55" s="347">
        <v>12.184051991109502</v>
      </c>
      <c r="P55" s="347">
        <v>9.8679018710605249</v>
      </c>
      <c r="Q55" s="506" t="s">
        <v>310</v>
      </c>
      <c r="AE55" s="173"/>
      <c r="AF55" s="173"/>
      <c r="AG55" s="173"/>
      <c r="AH55" s="173"/>
    </row>
    <row r="56" spans="2:34" ht="25.15" customHeight="1">
      <c r="B56" s="17" t="s">
        <v>311</v>
      </c>
      <c r="C56" s="238" t="s">
        <v>116</v>
      </c>
      <c r="D56" s="347">
        <v>6.2161218133717</v>
      </c>
      <c r="E56" s="347">
        <v>1.8244807887022541</v>
      </c>
      <c r="F56" s="347">
        <v>5.055559654259989</v>
      </c>
      <c r="G56" s="347">
        <v>4.1656918425617695</v>
      </c>
      <c r="H56" s="347">
        <v>6.7867728794517523</v>
      </c>
      <c r="I56" s="347">
        <v>5.5614907549683235</v>
      </c>
      <c r="J56" s="347">
        <v>0.73506871316519895</v>
      </c>
      <c r="K56" s="347">
        <v>1.3139138814114215</v>
      </c>
      <c r="L56" s="347">
        <v>1.1083481389307037</v>
      </c>
      <c r="M56" s="347">
        <v>-4.9570524365270874</v>
      </c>
      <c r="N56" s="347">
        <v>4.3547552992131644</v>
      </c>
      <c r="O56" s="347">
        <v>7.5096970322181988</v>
      </c>
      <c r="P56" s="347">
        <v>3.6187065354716497</v>
      </c>
      <c r="Q56" s="506" t="s">
        <v>312</v>
      </c>
      <c r="AE56" s="173"/>
      <c r="AF56" s="173"/>
      <c r="AG56" s="173"/>
      <c r="AH56" s="173"/>
    </row>
    <row r="57" spans="2:34" ht="25.15" customHeight="1">
      <c r="B57" s="56" t="s">
        <v>153</v>
      </c>
      <c r="C57" s="238" t="s">
        <v>116</v>
      </c>
      <c r="D57" s="347">
        <v>20.2805171027175</v>
      </c>
      <c r="E57" s="347">
        <v>6.6326030369800115</v>
      </c>
      <c r="F57" s="347">
        <v>4.0975280449454532</v>
      </c>
      <c r="G57" s="347">
        <v>3.5147345756586734</v>
      </c>
      <c r="H57" s="347">
        <v>-10.306134079234951</v>
      </c>
      <c r="I57" s="347">
        <v>-0.17906680642916228</v>
      </c>
      <c r="J57" s="347">
        <v>5.908737135707165</v>
      </c>
      <c r="K57" s="347">
        <v>8.944786433265639</v>
      </c>
      <c r="L57" s="347">
        <v>-1.9656447045388381</v>
      </c>
      <c r="M57" s="347">
        <v>-17.249579542741966</v>
      </c>
      <c r="N57" s="347">
        <v>19.232028386151477</v>
      </c>
      <c r="O57" s="347">
        <v>21.315999454906944</v>
      </c>
      <c r="P57" s="347">
        <v>3.0198480537828809</v>
      </c>
      <c r="Q57" s="18" t="s">
        <v>89</v>
      </c>
      <c r="AE57" s="173"/>
      <c r="AF57" s="173"/>
      <c r="AG57" s="173"/>
      <c r="AH57" s="173"/>
    </row>
    <row r="58" spans="2:34" ht="25.15" customHeight="1">
      <c r="B58" s="17" t="s">
        <v>313</v>
      </c>
      <c r="C58" s="238" t="s">
        <v>116</v>
      </c>
      <c r="D58" s="347">
        <v>21.194673877263991</v>
      </c>
      <c r="E58" s="347">
        <v>6.9979944907468283</v>
      </c>
      <c r="F58" s="347">
        <v>4.9477220372174502</v>
      </c>
      <c r="G58" s="347">
        <v>3.2975836570943828</v>
      </c>
      <c r="H58" s="347">
        <v>-10.98433827288977</v>
      </c>
      <c r="I58" s="347">
        <v>0.19577642705179699</v>
      </c>
      <c r="J58" s="347">
        <v>5.2275120597278901</v>
      </c>
      <c r="K58" s="347">
        <v>8.8964936579893017</v>
      </c>
      <c r="L58" s="347">
        <v>-1.9960923368172123</v>
      </c>
      <c r="M58" s="347">
        <v>-16.821787678203272</v>
      </c>
      <c r="N58" s="347">
        <v>19.616858608765209</v>
      </c>
      <c r="O58" s="347">
        <v>22.09205960349443</v>
      </c>
      <c r="P58" s="347">
        <v>2.9203850675064702</v>
      </c>
      <c r="Q58" s="18" t="s">
        <v>90</v>
      </c>
      <c r="AE58" s="173"/>
      <c r="AF58" s="173"/>
      <c r="AG58" s="173"/>
      <c r="AH58" s="173"/>
    </row>
    <row r="59" spans="2:34" ht="25.15" customHeight="1">
      <c r="B59" s="56" t="s">
        <v>4</v>
      </c>
      <c r="C59" s="238" t="s">
        <v>116</v>
      </c>
      <c r="D59" s="347">
        <v>20.74026696266893</v>
      </c>
      <c r="E59" s="347">
        <v>6.3406400841123034</v>
      </c>
      <c r="F59" s="347">
        <v>3.8356656240734921</v>
      </c>
      <c r="G59" s="347">
        <v>3.2790732301853254</v>
      </c>
      <c r="H59" s="347">
        <v>-14.010723549733562</v>
      </c>
      <c r="I59" s="347">
        <v>-3.6577334824494656E-2</v>
      </c>
      <c r="J59" s="347">
        <v>5.9730669865892816</v>
      </c>
      <c r="K59" s="347">
        <v>8.5970459533391228</v>
      </c>
      <c r="L59" s="347">
        <v>-2.5336695175113277</v>
      </c>
      <c r="M59" s="347">
        <v>-21.117045774145737</v>
      </c>
      <c r="N59" s="347">
        <v>21.91513324654273</v>
      </c>
      <c r="O59" s="347">
        <v>23.098976228359923</v>
      </c>
      <c r="P59" s="347">
        <v>2.5379813954223174</v>
      </c>
      <c r="Q59" s="18" t="s">
        <v>303</v>
      </c>
      <c r="AE59" s="173"/>
      <c r="AF59" s="173"/>
      <c r="AG59" s="173"/>
      <c r="AH59" s="173"/>
    </row>
    <row r="60" spans="2:34" ht="25.15" customHeight="1">
      <c r="B60" s="17" t="s">
        <v>304</v>
      </c>
      <c r="C60" s="238" t="s">
        <v>116</v>
      </c>
      <c r="D60" s="347">
        <v>31.063158634767408</v>
      </c>
      <c r="E60" s="347">
        <v>20.187839273597064</v>
      </c>
      <c r="F60" s="347">
        <v>-1.5778920832916432</v>
      </c>
      <c r="G60" s="347">
        <v>-3.1575113991821224</v>
      </c>
      <c r="H60" s="347">
        <v>-30.789941805204503</v>
      </c>
      <c r="I60" s="347">
        <v>-1.1175334295145056</v>
      </c>
      <c r="J60" s="347">
        <v>6.5438978854893248</v>
      </c>
      <c r="K60" s="347">
        <v>18.191453651197985</v>
      </c>
      <c r="L60" s="347">
        <v>-7.8167319798808528</v>
      </c>
      <c r="M60" s="347">
        <v>-48.698414748019978</v>
      </c>
      <c r="N60" s="347">
        <v>61.957392575440217</v>
      </c>
      <c r="O60" s="347">
        <v>29.316452590388419</v>
      </c>
      <c r="P60" s="347">
        <v>-7.0041398682866625</v>
      </c>
      <c r="Q60" s="18" t="s">
        <v>314</v>
      </c>
      <c r="AE60" s="173"/>
      <c r="AF60" s="173"/>
      <c r="AG60" s="173"/>
      <c r="AH60" s="173"/>
    </row>
    <row r="61" spans="2:34" ht="25.15" customHeight="1">
      <c r="B61" s="350" t="s">
        <v>307</v>
      </c>
      <c r="C61" s="367" t="s">
        <v>116</v>
      </c>
      <c r="D61" s="368">
        <v>11.93267176287649</v>
      </c>
      <c r="E61" s="368">
        <v>-7.4931657485948877</v>
      </c>
      <c r="F61" s="368">
        <v>10.862330085784254</v>
      </c>
      <c r="G61" s="368">
        <v>10.696112673547509</v>
      </c>
      <c r="H61" s="368">
        <v>2.9046035006702775</v>
      </c>
      <c r="I61" s="368">
        <v>0.69633349866569105</v>
      </c>
      <c r="J61" s="368">
        <v>5.5930034601953338</v>
      </c>
      <c r="K61" s="368">
        <v>2.1514908179758763</v>
      </c>
      <c r="L61" s="368">
        <v>1.5728062933992648</v>
      </c>
      <c r="M61" s="368">
        <v>-1.6601303730009342</v>
      </c>
      <c r="N61" s="368">
        <v>7.1791912462331409</v>
      </c>
      <c r="O61" s="368">
        <v>19.641463616127197</v>
      </c>
      <c r="P61" s="368">
        <v>8.2734198895501265</v>
      </c>
      <c r="Q61" s="352" t="s">
        <v>99</v>
      </c>
      <c r="AE61" s="173"/>
      <c r="AF61" s="173"/>
      <c r="AG61" s="173"/>
      <c r="AH61" s="173"/>
    </row>
    <row r="62" spans="2:34" ht="25.15" customHeight="1">
      <c r="B62" s="47" t="s">
        <v>180</v>
      </c>
      <c r="C62" s="238" t="s">
        <v>116</v>
      </c>
      <c r="D62" s="347">
        <v>10.000248177624748</v>
      </c>
      <c r="E62" s="347">
        <v>-10.583983378246808</v>
      </c>
      <c r="F62" s="347">
        <v>8.8336140142406308</v>
      </c>
      <c r="G62" s="347">
        <v>13.263465873162694</v>
      </c>
      <c r="H62" s="347">
        <v>3.4701722628194931</v>
      </c>
      <c r="I62" s="347">
        <v>0.75868823131692853</v>
      </c>
      <c r="J62" s="347">
        <v>3.1893156311356252</v>
      </c>
      <c r="K62" s="347">
        <v>1.2860674087070478</v>
      </c>
      <c r="L62" s="347">
        <v>1.3004332316283396</v>
      </c>
      <c r="M62" s="347">
        <v>-1.2036020718424911</v>
      </c>
      <c r="N62" s="347">
        <v>4.8285816353388133</v>
      </c>
      <c r="O62" s="347">
        <v>24.941983680703572</v>
      </c>
      <c r="P62" s="347">
        <v>10.628711207709006</v>
      </c>
      <c r="Q62" s="203" t="s">
        <v>195</v>
      </c>
      <c r="AE62" s="173"/>
      <c r="AF62" s="173"/>
      <c r="AG62" s="173"/>
      <c r="AH62" s="173"/>
    </row>
    <row r="63" spans="2:34" ht="25.15" customHeight="1">
      <c r="B63" s="364" t="s">
        <v>194</v>
      </c>
      <c r="C63" s="369" t="s">
        <v>116</v>
      </c>
      <c r="D63" s="370">
        <v>20.070050802808126</v>
      </c>
      <c r="E63" s="370">
        <v>4.4306310928684756</v>
      </c>
      <c r="F63" s="370">
        <v>17.563488318996392</v>
      </c>
      <c r="G63" s="370">
        <v>2.8454772337816348</v>
      </c>
      <c r="H63" s="370">
        <v>0.99997949552528276</v>
      </c>
      <c r="I63" s="370">
        <v>0.48121034917854022</v>
      </c>
      <c r="J63" s="370">
        <v>13.90860052984555</v>
      </c>
      <c r="K63" s="370">
        <v>4.8636940396855399</v>
      </c>
      <c r="L63" s="370">
        <v>2.3972904195486811</v>
      </c>
      <c r="M63" s="370">
        <v>-3.0272568341667472</v>
      </c>
      <c r="N63" s="370">
        <v>14.350739432878591</v>
      </c>
      <c r="O63" s="370">
        <v>4.8165685301260197</v>
      </c>
      <c r="P63" s="370">
        <v>0.42113159628123231</v>
      </c>
      <c r="Q63" s="366" t="s">
        <v>196</v>
      </c>
      <c r="AE63" s="173"/>
      <c r="AF63" s="173"/>
      <c r="AG63" s="173"/>
      <c r="AH63" s="173"/>
    </row>
    <row r="64" spans="2:34" ht="25.15" customHeight="1">
      <c r="B64" s="17" t="s">
        <v>207</v>
      </c>
      <c r="C64" s="238" t="s">
        <v>116</v>
      </c>
      <c r="D64" s="347">
        <v>2.6866102621537991</v>
      </c>
      <c r="E64" s="347">
        <v>0.66945675061065302</v>
      </c>
      <c r="F64" s="347">
        <v>-5.8681816231132222</v>
      </c>
      <c r="G64" s="347">
        <v>8.5519089569726638</v>
      </c>
      <c r="H64" s="347">
        <v>-12.05667932750687</v>
      </c>
      <c r="I64" s="347">
        <v>-3.3634531534018075</v>
      </c>
      <c r="J64" s="347">
        <v>4.0267730841782035</v>
      </c>
      <c r="K64" s="347">
        <v>12.176793768570215</v>
      </c>
      <c r="L64" s="347">
        <v>7.9156503102595144</v>
      </c>
      <c r="M64" s="347">
        <v>-18.963895828348953</v>
      </c>
      <c r="N64" s="347">
        <v>31.523160047591613</v>
      </c>
      <c r="O64" s="347">
        <v>24.28059731683614</v>
      </c>
      <c r="P64" s="347">
        <v>4.4690473810480524</v>
      </c>
      <c r="Q64" s="18" t="s">
        <v>315</v>
      </c>
      <c r="AE64" s="173"/>
      <c r="AF64" s="173"/>
      <c r="AG64" s="173"/>
      <c r="AH64" s="173"/>
    </row>
    <row r="65" spans="2:34" ht="25.15" customHeight="1">
      <c r="B65" s="371" t="s">
        <v>98</v>
      </c>
      <c r="C65" s="367" t="s">
        <v>116</v>
      </c>
      <c r="D65" s="368">
        <v>32.534903914265477</v>
      </c>
      <c r="E65" s="368">
        <v>18.883213723842161</v>
      </c>
      <c r="F65" s="368">
        <v>4.4553776988198512</v>
      </c>
      <c r="G65" s="368">
        <v>2.6727191190946575</v>
      </c>
      <c r="H65" s="368">
        <v>-10.974774495797558</v>
      </c>
      <c r="I65" s="368">
        <v>0.58479532163742132</v>
      </c>
      <c r="J65" s="368">
        <v>5.9649652672908449</v>
      </c>
      <c r="K65" s="368">
        <v>4.7313666809177812</v>
      </c>
      <c r="L65" s="368">
        <v>1.1607021363450709</v>
      </c>
      <c r="M65" s="368">
        <v>-13.482533661541762</v>
      </c>
      <c r="N65" s="368">
        <v>21.376925382713342</v>
      </c>
      <c r="O65" s="368">
        <v>22.754349503805926</v>
      </c>
      <c r="P65" s="368">
        <v>6.9945168733795526</v>
      </c>
      <c r="Q65" s="357" t="s">
        <v>95</v>
      </c>
      <c r="AE65" s="173"/>
      <c r="AF65" s="173"/>
      <c r="AG65" s="173"/>
      <c r="AH65" s="173"/>
    </row>
    <row r="66" spans="2:34" ht="25.15" customHeight="1">
      <c r="B66" s="235" t="s">
        <v>166</v>
      </c>
      <c r="C66" s="238" t="s">
        <v>116</v>
      </c>
      <c r="D66" s="347">
        <v>33.75132186118055</v>
      </c>
      <c r="E66" s="347">
        <v>18.931290851508287</v>
      </c>
      <c r="F66" s="347">
        <v>2.929816013023756</v>
      </c>
      <c r="G66" s="347">
        <v>2.1284856420245468</v>
      </c>
      <c r="H66" s="347">
        <v>-21.41681141256425</v>
      </c>
      <c r="I66" s="347">
        <v>-0.91449474165523625</v>
      </c>
      <c r="J66" s="347">
        <v>5.6299030918320225</v>
      </c>
      <c r="K66" s="347">
        <v>5.3735255570118046</v>
      </c>
      <c r="L66" s="347">
        <v>-4.1990049751243763</v>
      </c>
      <c r="M66" s="347">
        <v>-13.490721506716518</v>
      </c>
      <c r="N66" s="347">
        <v>18.79865964124232</v>
      </c>
      <c r="O66" s="347">
        <v>13.667260408376404</v>
      </c>
      <c r="P66" s="347">
        <v>7.8509430961293036</v>
      </c>
      <c r="Q66" s="37" t="s">
        <v>168</v>
      </c>
      <c r="AE66" s="173"/>
      <c r="AF66" s="173"/>
      <c r="AG66" s="173"/>
      <c r="AH66" s="173"/>
    </row>
    <row r="67" spans="2:34" ht="25.15" customHeight="1">
      <c r="B67" s="372" t="s">
        <v>167</v>
      </c>
      <c r="C67" s="369" t="s">
        <v>116</v>
      </c>
      <c r="D67" s="370">
        <v>9.0487238979118256</v>
      </c>
      <c r="E67" s="370">
        <v>17.744680851063819</v>
      </c>
      <c r="F67" s="370">
        <v>40.946873870617992</v>
      </c>
      <c r="G67" s="370">
        <v>12.179487179487181</v>
      </c>
      <c r="H67" s="370">
        <v>155.08571428571426</v>
      </c>
      <c r="I67" s="370">
        <v>7.9301075268817245</v>
      </c>
      <c r="J67" s="370">
        <v>7.4719800747198084</v>
      </c>
      <c r="K67" s="370">
        <v>1.8926226342216967</v>
      </c>
      <c r="L67" s="370">
        <v>25.663381349507208</v>
      </c>
      <c r="M67" s="370">
        <v>-13.453996983408745</v>
      </c>
      <c r="N67" s="370">
        <v>30.359010108051578</v>
      </c>
      <c r="O67" s="370">
        <v>51.604278074866315</v>
      </c>
      <c r="P67" s="370">
        <v>4.9559082892415951</v>
      </c>
      <c r="Q67" s="358" t="s">
        <v>169</v>
      </c>
      <c r="AE67" s="173"/>
      <c r="AF67" s="173"/>
      <c r="AG67" s="173"/>
      <c r="AH67" s="173"/>
    </row>
    <row r="68" spans="2:34" ht="25.15" customHeight="1">
      <c r="B68" s="236" t="s">
        <v>97</v>
      </c>
      <c r="C68" s="239" t="s">
        <v>116</v>
      </c>
      <c r="D68" s="347">
        <v>20.918274009525149</v>
      </c>
      <c r="E68" s="347">
        <v>11.008609853484973</v>
      </c>
      <c r="F68" s="347">
        <v>5.3225694708663562</v>
      </c>
      <c r="G68" s="347">
        <v>8.9507527435970236</v>
      </c>
      <c r="H68" s="347">
        <v>-2.2215183922323578</v>
      </c>
      <c r="I68" s="347">
        <v>0.63771636805345366</v>
      </c>
      <c r="J68" s="347">
        <v>5.4013277006638605</v>
      </c>
      <c r="K68" s="347">
        <v>-1.3321881858955997</v>
      </c>
      <c r="L68" s="347">
        <v>8.6910265586010773</v>
      </c>
      <c r="M68" s="347">
        <v>-2.8679060722340055</v>
      </c>
      <c r="N68" s="347">
        <v>16.923280104464801</v>
      </c>
      <c r="O68" s="347">
        <v>23.152863746767991</v>
      </c>
      <c r="P68" s="347">
        <v>12.584298256775671</v>
      </c>
      <c r="Q68" s="18" t="s">
        <v>96</v>
      </c>
      <c r="AE68" s="173"/>
      <c r="AF68" s="173"/>
      <c r="AG68" s="173"/>
      <c r="AH68" s="173"/>
    </row>
    <row r="69" spans="2:34" ht="25.15" customHeight="1">
      <c r="B69" s="235" t="s">
        <v>170</v>
      </c>
      <c r="C69" s="238" t="s">
        <v>116</v>
      </c>
      <c r="D69" s="347">
        <v>16.767164601854635</v>
      </c>
      <c r="E69" s="347">
        <v>10.790967497271087</v>
      </c>
      <c r="F69" s="347">
        <v>7.7669693339315726</v>
      </c>
      <c r="G69" s="347">
        <v>10.473559284689271</v>
      </c>
      <c r="H69" s="347">
        <v>-11.00117205965201</v>
      </c>
      <c r="I69" s="347">
        <v>-0.13096623981373456</v>
      </c>
      <c r="J69" s="347">
        <v>14.26489873233281</v>
      </c>
      <c r="K69" s="347">
        <v>-2.0224432542718662</v>
      </c>
      <c r="L69" s="347">
        <v>4.1075565504854694</v>
      </c>
      <c r="M69" s="347">
        <v>8.0598164220820436</v>
      </c>
      <c r="N69" s="347">
        <v>15.320922312480633</v>
      </c>
      <c r="O69" s="347">
        <v>21.980337078651679</v>
      </c>
      <c r="P69" s="347">
        <v>13.767579570688371</v>
      </c>
      <c r="Q69" s="37" t="s">
        <v>172</v>
      </c>
      <c r="AE69" s="173"/>
      <c r="AF69" s="173"/>
      <c r="AG69" s="173"/>
      <c r="AH69" s="173"/>
    </row>
    <row r="70" spans="2:34" ht="25.15" customHeight="1">
      <c r="B70" s="235" t="s">
        <v>171</v>
      </c>
      <c r="C70" s="238" t="s">
        <v>116</v>
      </c>
      <c r="D70" s="347">
        <v>34.378537102793459</v>
      </c>
      <c r="E70" s="347">
        <v>11.621840164802366</v>
      </c>
      <c r="F70" s="347">
        <v>-1.5135181751541493</v>
      </c>
      <c r="G70" s="347">
        <v>4.2907180385288957</v>
      </c>
      <c r="H70" s="347">
        <v>26.238455079764901</v>
      </c>
      <c r="I70" s="347">
        <v>2.3944130362487437</v>
      </c>
      <c r="J70" s="347">
        <v>-14.355310165638191</v>
      </c>
      <c r="K70" s="347">
        <v>0.72051573758058485</v>
      </c>
      <c r="L70" s="347">
        <v>21.950301204819269</v>
      </c>
      <c r="M70" s="347">
        <v>-29.854893485643718</v>
      </c>
      <c r="N70" s="347">
        <v>23.0193661971831</v>
      </c>
      <c r="O70" s="347">
        <v>27.334525939177112</v>
      </c>
      <c r="P70" s="347">
        <v>8.5417252037089053</v>
      </c>
      <c r="Q70" s="46" t="s">
        <v>173</v>
      </c>
      <c r="AE70" s="173"/>
      <c r="AF70" s="173"/>
      <c r="AG70" s="173"/>
      <c r="AH70" s="173"/>
    </row>
    <row r="71" spans="2:34" ht="25.15" customHeight="1" thickBot="1">
      <c r="B71" s="373" t="s">
        <v>87</v>
      </c>
      <c r="C71" s="374" t="s">
        <v>116</v>
      </c>
      <c r="D71" s="375">
        <v>7.6812950573174721</v>
      </c>
      <c r="E71" s="375">
        <v>8.2063610373788176</v>
      </c>
      <c r="F71" s="375">
        <v>12.832747153298252</v>
      </c>
      <c r="G71" s="375">
        <v>6.6359946608032461</v>
      </c>
      <c r="H71" s="375">
        <v>5.2215413944292299</v>
      </c>
      <c r="I71" s="375">
        <v>6.8217278800517089</v>
      </c>
      <c r="J71" s="375">
        <v>5.1240409174014179</v>
      </c>
      <c r="K71" s="375">
        <v>4.1712351251330659</v>
      </c>
      <c r="L71" s="375">
        <v>2.2578404398891028</v>
      </c>
      <c r="M71" s="375">
        <v>-3.7572027026247512</v>
      </c>
      <c r="N71" s="375">
        <v>5.3694255110014133</v>
      </c>
      <c r="O71" s="375">
        <v>10.725344286895622</v>
      </c>
      <c r="P71" s="375">
        <v>5.1155196636945455</v>
      </c>
      <c r="Q71" s="376" t="s">
        <v>94</v>
      </c>
      <c r="AE71" s="173"/>
      <c r="AF71" s="173"/>
      <c r="AG71" s="173"/>
      <c r="AH71" s="173"/>
    </row>
    <row r="72" spans="2:34" ht="25.15" customHeight="1">
      <c r="B72" s="381" t="s">
        <v>434</v>
      </c>
      <c r="C72" s="379"/>
      <c r="D72" s="380"/>
      <c r="E72" s="380"/>
      <c r="F72" s="380"/>
      <c r="G72" s="380"/>
      <c r="H72" s="380"/>
      <c r="I72" s="380"/>
      <c r="J72" s="380"/>
      <c r="K72" s="380"/>
      <c r="L72" s="380"/>
      <c r="M72" s="380"/>
      <c r="N72" s="380"/>
      <c r="O72" s="380"/>
      <c r="P72" s="380"/>
      <c r="Q72" s="411" t="s">
        <v>394</v>
      </c>
      <c r="S72" s="174"/>
      <c r="T72" s="174"/>
      <c r="U72" s="174"/>
      <c r="V72" s="174"/>
      <c r="W72" s="174"/>
      <c r="X72" s="174"/>
      <c r="Y72" s="174"/>
      <c r="Z72" s="174"/>
      <c r="AA72" s="174"/>
      <c r="AB72" s="174"/>
      <c r="AC72" s="173"/>
      <c r="AD72" s="173"/>
      <c r="AE72" s="173"/>
      <c r="AF72" s="173"/>
      <c r="AG72" s="173"/>
      <c r="AH72" s="173"/>
    </row>
    <row r="73" spans="2:34" s="93" customFormat="1" ht="24.95" customHeight="1">
      <c r="B73" s="535" t="s">
        <v>326</v>
      </c>
      <c r="C73" s="535"/>
      <c r="D73" s="334"/>
      <c r="E73" s="334"/>
      <c r="F73" s="334"/>
      <c r="G73" s="334"/>
      <c r="H73" s="334"/>
      <c r="I73" s="334"/>
      <c r="J73" s="334"/>
      <c r="K73" s="334"/>
      <c r="L73" s="334"/>
      <c r="M73" s="334"/>
      <c r="N73" s="334"/>
      <c r="O73" s="334"/>
      <c r="P73" s="334"/>
      <c r="Q73" s="313" t="s">
        <v>327</v>
      </c>
    </row>
    <row r="74" spans="2:34" s="102" customFormat="1" ht="24.95" customHeight="1">
      <c r="B74" s="535" t="s">
        <v>399</v>
      </c>
      <c r="C74" s="535"/>
      <c r="D74" s="335"/>
      <c r="E74" s="335"/>
      <c r="F74" s="336"/>
      <c r="G74" s="336"/>
      <c r="H74" s="101"/>
      <c r="I74" s="101"/>
      <c r="J74" s="101"/>
      <c r="K74" s="101"/>
      <c r="L74" s="101"/>
      <c r="M74" s="101"/>
      <c r="N74" s="337"/>
      <c r="O74" s="337"/>
      <c r="P74" s="337"/>
      <c r="Q74" s="313" t="s">
        <v>193</v>
      </c>
    </row>
    <row r="75" spans="2:34" s="102" customFormat="1" ht="24.95" customHeight="1">
      <c r="B75" s="81" t="s">
        <v>192</v>
      </c>
      <c r="C75" s="81"/>
      <c r="D75" s="338"/>
      <c r="E75" s="338"/>
      <c r="F75" s="339"/>
      <c r="G75" s="340"/>
      <c r="H75" s="14"/>
      <c r="I75" s="14"/>
      <c r="J75" s="14"/>
      <c r="Q75" s="81" t="s">
        <v>551</v>
      </c>
    </row>
    <row r="76" spans="2:34" s="102" customFormat="1" ht="24.95" customHeight="1">
      <c r="B76" s="345"/>
      <c r="C76" s="345"/>
      <c r="D76" s="345"/>
      <c r="E76" s="345"/>
      <c r="F76" s="345"/>
      <c r="G76" s="345"/>
      <c r="H76" s="345"/>
      <c r="I76" s="345"/>
      <c r="J76" s="345"/>
      <c r="K76" s="345"/>
      <c r="L76" s="345"/>
      <c r="M76" s="345"/>
      <c r="N76" s="345"/>
      <c r="O76" s="345"/>
      <c r="P76" s="345"/>
      <c r="Q76" s="345"/>
    </row>
    <row r="77" spans="2:34" ht="25.15" customHeight="1">
      <c r="B77" s="547" t="s">
        <v>455</v>
      </c>
      <c r="C77" s="547"/>
      <c r="D77" s="547"/>
      <c r="E77" s="547"/>
      <c r="F77" s="547"/>
      <c r="G77" s="547"/>
      <c r="H77" s="547"/>
      <c r="I77" s="547"/>
      <c r="J77" s="547"/>
      <c r="K77" s="547"/>
      <c r="L77" s="547"/>
      <c r="M77" s="547"/>
      <c r="N77" s="547"/>
      <c r="O77" s="547"/>
      <c r="P77" s="547"/>
      <c r="Q77" s="547"/>
    </row>
    <row r="78" spans="2:34" ht="25.15" customHeight="1">
      <c r="B78" s="548" t="s">
        <v>433</v>
      </c>
      <c r="C78" s="548"/>
      <c r="D78" s="548"/>
      <c r="E78" s="548"/>
      <c r="F78" s="548"/>
      <c r="G78" s="548"/>
      <c r="H78" s="548"/>
      <c r="I78" s="548"/>
      <c r="J78" s="548"/>
      <c r="K78" s="548"/>
      <c r="L78" s="548"/>
      <c r="M78" s="548"/>
      <c r="N78" s="548"/>
      <c r="O78" s="548"/>
      <c r="P78" s="548"/>
      <c r="Q78" s="548"/>
    </row>
    <row r="79" spans="2:34" ht="25.15" customHeight="1">
      <c r="B79" s="293"/>
      <c r="C79" s="293"/>
      <c r="D79" s="293"/>
      <c r="E79" s="293"/>
      <c r="F79" s="293"/>
      <c r="G79" s="293"/>
      <c r="H79" s="293"/>
      <c r="I79" s="293"/>
      <c r="J79" s="293"/>
      <c r="K79" s="293"/>
      <c r="L79" s="293"/>
      <c r="M79" s="293"/>
      <c r="N79" s="293"/>
      <c r="O79" s="293"/>
      <c r="P79" s="293"/>
      <c r="Q79" s="211" t="s">
        <v>388</v>
      </c>
    </row>
    <row r="80" spans="2:34" ht="25.15" customHeight="1">
      <c r="B80" s="87" t="s">
        <v>1</v>
      </c>
      <c r="C80" s="181">
        <v>2010</v>
      </c>
      <c r="D80" s="181">
        <v>2011</v>
      </c>
      <c r="E80" s="181">
        <v>2012</v>
      </c>
      <c r="F80" s="181">
        <v>2013</v>
      </c>
      <c r="G80" s="181">
        <v>2014</v>
      </c>
      <c r="H80" s="181">
        <v>2015</v>
      </c>
      <c r="I80" s="181">
        <v>2016</v>
      </c>
      <c r="J80" s="181">
        <v>2017</v>
      </c>
      <c r="K80" s="5">
        <v>2018</v>
      </c>
      <c r="L80" s="181">
        <v>2019</v>
      </c>
      <c r="M80" s="181">
        <v>2020</v>
      </c>
      <c r="N80" s="181">
        <v>2021</v>
      </c>
      <c r="O80" s="181" t="s">
        <v>185</v>
      </c>
      <c r="P80" s="181" t="s">
        <v>186</v>
      </c>
      <c r="Q80" s="3" t="s">
        <v>17</v>
      </c>
    </row>
    <row r="81" spans="2:41" ht="25.15" customHeight="1">
      <c r="B81" s="17" t="s">
        <v>84</v>
      </c>
      <c r="C81" s="304">
        <v>8264.07</v>
      </c>
      <c r="D81" s="304">
        <v>8394.0190000000002</v>
      </c>
      <c r="E81" s="304">
        <v>8526.4249999999993</v>
      </c>
      <c r="F81" s="304">
        <v>8661.3449999999993</v>
      </c>
      <c r="G81" s="304">
        <v>8798.8410000000003</v>
      </c>
      <c r="H81" s="304">
        <v>8938.9740000000002</v>
      </c>
      <c r="I81" s="304">
        <v>9121.1669999999995</v>
      </c>
      <c r="J81" s="304">
        <v>9304.277</v>
      </c>
      <c r="K81" s="304">
        <v>9366.8279999999995</v>
      </c>
      <c r="L81" s="304">
        <v>9506.7870000000003</v>
      </c>
      <c r="M81" s="304">
        <v>9285.5130000000008</v>
      </c>
      <c r="N81" s="304">
        <v>9859.9</v>
      </c>
      <c r="O81" s="304">
        <v>10281.367</v>
      </c>
      <c r="P81" s="304">
        <v>10679.758</v>
      </c>
      <c r="Q81" s="18" t="s">
        <v>154</v>
      </c>
    </row>
    <row r="82" spans="2:41" ht="25.15" customHeight="1">
      <c r="B82" s="17" t="s">
        <v>16</v>
      </c>
      <c r="C82" s="265">
        <v>300189.05269402848</v>
      </c>
      <c r="D82" s="265">
        <v>360832.73955838627</v>
      </c>
      <c r="E82" s="265">
        <v>384610.12538403337</v>
      </c>
      <c r="F82" s="265">
        <v>400218.52974759572</v>
      </c>
      <c r="G82" s="265">
        <v>414105.36675891065</v>
      </c>
      <c r="H82" s="265">
        <v>370275.46956016554</v>
      </c>
      <c r="I82" s="265">
        <v>369255.32623577194</v>
      </c>
      <c r="J82" s="265">
        <v>390516.80401650124</v>
      </c>
      <c r="K82" s="265">
        <v>427049.43214934604</v>
      </c>
      <c r="L82" s="265">
        <v>417989.72173449508</v>
      </c>
      <c r="M82" s="265">
        <v>349473.01533693989</v>
      </c>
      <c r="N82" s="265">
        <v>415178.79276988353</v>
      </c>
      <c r="O82" s="265">
        <v>502731.93519748608</v>
      </c>
      <c r="P82" s="265">
        <v>514130.43265307997</v>
      </c>
      <c r="Q82" s="18" t="s">
        <v>88</v>
      </c>
      <c r="R82" s="501"/>
      <c r="S82" s="501"/>
      <c r="T82" s="501"/>
      <c r="U82" s="501"/>
      <c r="V82" s="501"/>
      <c r="W82" s="501"/>
      <c r="X82" s="501"/>
      <c r="Y82" s="501"/>
      <c r="Z82" s="501"/>
      <c r="AA82" s="501"/>
      <c r="AB82" s="501"/>
      <c r="AC82" s="501"/>
      <c r="AD82" s="501"/>
      <c r="AE82" s="501"/>
      <c r="AG82" s="175"/>
      <c r="AH82" s="175"/>
      <c r="AI82" s="175"/>
      <c r="AJ82" s="175"/>
      <c r="AK82" s="175"/>
      <c r="AL82" s="175"/>
      <c r="AM82" s="175"/>
      <c r="AN82" s="175"/>
      <c r="AO82" s="175"/>
    </row>
    <row r="83" spans="2:41" ht="25.15" customHeight="1">
      <c r="B83" s="17" t="s">
        <v>175</v>
      </c>
      <c r="C83" s="265">
        <v>211014.76382058827</v>
      </c>
      <c r="D83" s="265">
        <v>225749.44103539683</v>
      </c>
      <c r="E83" s="265">
        <v>239895.44461886509</v>
      </c>
      <c r="F83" s="265">
        <v>257868.76227883229</v>
      </c>
      <c r="G83" s="265">
        <v>278017.73757360684</v>
      </c>
      <c r="H83" s="265">
        <v>292979.20282556111</v>
      </c>
      <c r="I83" s="265">
        <v>300949.7019662938</v>
      </c>
      <c r="J83" s="265">
        <v>311842.96822757652</v>
      </c>
      <c r="K83" s="265">
        <v>317633.44644644699</v>
      </c>
      <c r="L83" s="265">
        <v>323822.2201680062</v>
      </c>
      <c r="M83" s="265">
        <v>288906.66100537771</v>
      </c>
      <c r="N83" s="265">
        <v>315235.27955877315</v>
      </c>
      <c r="O83" s="265">
        <v>353643.70991453348</v>
      </c>
      <c r="P83" s="265">
        <v>388540.92418207764</v>
      </c>
      <c r="Q83" s="506" t="s">
        <v>310</v>
      </c>
      <c r="R83" s="501"/>
      <c r="S83" s="501"/>
      <c r="T83" s="501"/>
      <c r="U83" s="501"/>
      <c r="V83" s="501"/>
      <c r="W83" s="501"/>
      <c r="X83" s="501"/>
      <c r="Y83" s="501"/>
      <c r="Z83" s="501"/>
      <c r="AA83" s="501"/>
      <c r="AB83" s="501"/>
      <c r="AC83" s="501"/>
      <c r="AD83" s="501"/>
      <c r="AE83" s="501"/>
      <c r="AG83" s="175"/>
      <c r="AH83" s="175"/>
      <c r="AI83" s="175"/>
      <c r="AJ83" s="175"/>
      <c r="AK83" s="175"/>
      <c r="AL83" s="175"/>
      <c r="AM83" s="175"/>
      <c r="AN83" s="175"/>
      <c r="AO83" s="175"/>
    </row>
    <row r="84" spans="2:41" ht="25.15" customHeight="1">
      <c r="B84" s="17" t="s">
        <v>311</v>
      </c>
      <c r="C84" s="265">
        <v>300189.05269402848</v>
      </c>
      <c r="D84" s="265">
        <v>318849.16987989581</v>
      </c>
      <c r="E84" s="265">
        <v>324666.51172929112</v>
      </c>
      <c r="F84" s="265">
        <v>341080.22090717044</v>
      </c>
      <c r="G84" s="265">
        <v>355288.57184609206</v>
      </c>
      <c r="H84" s="265">
        <v>379401.20028393413</v>
      </c>
      <c r="I84" s="265">
        <v>400501.56296196399</v>
      </c>
      <c r="J84" s="265">
        <v>403445.524647035</v>
      </c>
      <c r="K84" s="265">
        <v>408746.45139930549</v>
      </c>
      <c r="L84" s="265">
        <v>413276.78508633497</v>
      </c>
      <c r="M84" s="265">
        <v>392790.43814161199</v>
      </c>
      <c r="N84" s="265">
        <v>409895.50056138646</v>
      </c>
      <c r="O84" s="265">
        <v>440677.41080224083</v>
      </c>
      <c r="P84" s="265">
        <v>456624.23306728876</v>
      </c>
      <c r="Q84" s="506" t="s">
        <v>312</v>
      </c>
      <c r="R84" s="501"/>
      <c r="S84" s="501"/>
      <c r="T84" s="501"/>
      <c r="U84" s="501"/>
      <c r="V84" s="501"/>
      <c r="W84" s="501"/>
      <c r="X84" s="501"/>
      <c r="Y84" s="501"/>
      <c r="Z84" s="501"/>
      <c r="AA84" s="501"/>
      <c r="AB84" s="501"/>
      <c r="AC84" s="501"/>
      <c r="AD84" s="501"/>
      <c r="AE84" s="501"/>
      <c r="AG84" s="175"/>
      <c r="AH84" s="175"/>
      <c r="AI84" s="175"/>
      <c r="AJ84" s="175"/>
      <c r="AK84" s="175"/>
      <c r="AL84" s="175"/>
      <c r="AM84" s="175"/>
      <c r="AN84" s="175"/>
      <c r="AO84" s="175"/>
    </row>
    <row r="85" spans="2:41" ht="25.15" customHeight="1">
      <c r="B85" s="56" t="s">
        <v>153</v>
      </c>
      <c r="C85" s="265">
        <v>300105.1861181265</v>
      </c>
      <c r="D85" s="265">
        <v>360968.06971495535</v>
      </c>
      <c r="E85" s="265">
        <v>384909.64886939758</v>
      </c>
      <c r="F85" s="265">
        <v>400681.42967952223</v>
      </c>
      <c r="G85" s="265">
        <v>414764.31842671189</v>
      </c>
      <c r="H85" s="265">
        <v>372018.15165682998</v>
      </c>
      <c r="I85" s="265">
        <v>371351.99063332129</v>
      </c>
      <c r="J85" s="265">
        <v>393294.20360806008</v>
      </c>
      <c r="K85" s="265">
        <v>428473.53017521399</v>
      </c>
      <c r="L85" s="265">
        <v>420051.26291897427</v>
      </c>
      <c r="M85" s="265">
        <v>347594.18620147364</v>
      </c>
      <c r="N85" s="265">
        <v>414443.59876035323</v>
      </c>
      <c r="O85" s="265">
        <v>502786.39401300688</v>
      </c>
      <c r="P85" s="265">
        <v>517969.77914729371</v>
      </c>
      <c r="Q85" s="18" t="s">
        <v>89</v>
      </c>
      <c r="R85" s="501"/>
      <c r="S85" s="501"/>
      <c r="T85" s="501"/>
      <c r="U85" s="501"/>
      <c r="V85" s="501"/>
      <c r="W85" s="501"/>
      <c r="X85" s="501"/>
      <c r="Y85" s="501"/>
      <c r="Z85" s="501"/>
      <c r="AA85" s="501"/>
      <c r="AB85" s="501"/>
      <c r="AC85" s="501"/>
      <c r="AD85" s="501"/>
      <c r="AE85" s="501"/>
      <c r="AG85" s="175"/>
      <c r="AH85" s="175"/>
      <c r="AI85" s="175"/>
      <c r="AJ85" s="175"/>
      <c r="AK85" s="175"/>
      <c r="AL85" s="175"/>
      <c r="AM85" s="175"/>
      <c r="AN85" s="175"/>
      <c r="AO85" s="175"/>
    </row>
    <row r="86" spans="2:41" ht="25.15" customHeight="1">
      <c r="B86" s="17" t="s">
        <v>313</v>
      </c>
      <c r="C86" s="265">
        <v>285746.77906146744</v>
      </c>
      <c r="D86" s="265">
        <v>346309.87699833151</v>
      </c>
      <c r="E86" s="265">
        <v>370544.62311158684</v>
      </c>
      <c r="F86" s="265">
        <v>388878.14108700317</v>
      </c>
      <c r="G86" s="265">
        <v>401701.72311350063</v>
      </c>
      <c r="H86" s="265">
        <v>357577.4469986867</v>
      </c>
      <c r="I86" s="265">
        <v>358277.49934836372</v>
      </c>
      <c r="J86" s="265">
        <v>377006.49883409095</v>
      </c>
      <c r="K86" s="265">
        <v>410546.85809307336</v>
      </c>
      <c r="L86" s="265">
        <v>402351.9637196337</v>
      </c>
      <c r="M86" s="265">
        <v>334669.17066363548</v>
      </c>
      <c r="N86" s="265">
        <v>400320.74867984798</v>
      </c>
      <c r="O86" s="265">
        <v>488759.84708335507</v>
      </c>
      <c r="P86" s="265">
        <v>503033.51667354489</v>
      </c>
      <c r="Q86" s="18" t="s">
        <v>90</v>
      </c>
      <c r="R86" s="501"/>
      <c r="S86" s="501"/>
      <c r="T86" s="501"/>
      <c r="U86" s="501"/>
      <c r="V86" s="501"/>
      <c r="W86" s="501"/>
      <c r="X86" s="501"/>
      <c r="Y86" s="501"/>
      <c r="Z86" s="501"/>
      <c r="AA86" s="501"/>
      <c r="AB86" s="501"/>
      <c r="AC86" s="501"/>
      <c r="AD86" s="501"/>
      <c r="AE86" s="501"/>
      <c r="AG86" s="175"/>
      <c r="AH86" s="175"/>
      <c r="AI86" s="175"/>
      <c r="AJ86" s="175"/>
      <c r="AK86" s="175"/>
      <c r="AL86" s="175"/>
      <c r="AM86" s="175"/>
      <c r="AN86" s="175"/>
      <c r="AO86" s="175"/>
    </row>
    <row r="87" spans="2:41" ht="25.15" customHeight="1">
      <c r="B87" s="56" t="s">
        <v>4</v>
      </c>
      <c r="C87" s="265">
        <v>280717.84779273509</v>
      </c>
      <c r="D87" s="265">
        <v>338939.47883680696</v>
      </c>
      <c r="E87" s="265">
        <v>360430.41129281488</v>
      </c>
      <c r="F87" s="265">
        <v>374255.31667748</v>
      </c>
      <c r="G87" s="265">
        <v>386527.42257919657</v>
      </c>
      <c r="H87" s="265">
        <v>332372.13395771489</v>
      </c>
      <c r="I87" s="265">
        <v>332250.56108941388</v>
      </c>
      <c r="J87" s="265">
        <v>352096.10966660333</v>
      </c>
      <c r="K87" s="265">
        <v>382365.97401456052</v>
      </c>
      <c r="L87" s="265">
        <v>372678.08388561825</v>
      </c>
      <c r="M87" s="265">
        <v>293979.48232128302</v>
      </c>
      <c r="N87" s="265">
        <v>358405.47758948873</v>
      </c>
      <c r="O87" s="265">
        <v>441193.47365902457</v>
      </c>
      <c r="P87" s="265">
        <v>452390.88193830801</v>
      </c>
      <c r="Q87" s="18" t="s">
        <v>303</v>
      </c>
      <c r="R87" s="501"/>
      <c r="S87" s="501"/>
      <c r="T87" s="501"/>
      <c r="U87" s="501"/>
      <c r="V87" s="501"/>
      <c r="W87" s="501"/>
      <c r="X87" s="501"/>
      <c r="Y87" s="501"/>
      <c r="Z87" s="501"/>
      <c r="AA87" s="501"/>
      <c r="AB87" s="501"/>
      <c r="AC87" s="501"/>
      <c r="AD87" s="501"/>
      <c r="AE87" s="501"/>
      <c r="AG87" s="175"/>
      <c r="AH87" s="175"/>
      <c r="AI87" s="175"/>
      <c r="AJ87" s="175"/>
      <c r="AK87" s="175"/>
      <c r="AL87" s="175"/>
      <c r="AM87" s="175"/>
      <c r="AN87" s="175"/>
      <c r="AO87" s="175"/>
    </row>
    <row r="88" spans="2:41" ht="25.15" customHeight="1">
      <c r="B88" s="17" t="s">
        <v>304</v>
      </c>
      <c r="C88" s="265">
        <v>129241.30918738991</v>
      </c>
      <c r="D88" s="265">
        <v>169387.74208191904</v>
      </c>
      <c r="E88" s="265">
        <v>203583.467202592</v>
      </c>
      <c r="F88" s="265">
        <v>200371.13979071166</v>
      </c>
      <c r="G88" s="265">
        <v>194044.3982111488</v>
      </c>
      <c r="H88" s="265">
        <v>134298.2409256768</v>
      </c>
      <c r="I88" s="265">
        <v>132797.41318808243</v>
      </c>
      <c r="J88" s="265">
        <v>141487.54030168187</v>
      </c>
      <c r="K88" s="265">
        <v>167226.1806178824</v>
      </c>
      <c r="L88" s="265">
        <v>154154.55827879108</v>
      </c>
      <c r="M88" s="265">
        <v>79083.732135207232</v>
      </c>
      <c r="N88" s="265">
        <v>128081.95051752713</v>
      </c>
      <c r="O88" s="265">
        <v>165631.03481784274</v>
      </c>
      <c r="P88" s="265">
        <v>154030.00547391045</v>
      </c>
      <c r="Q88" s="18" t="s">
        <v>314</v>
      </c>
      <c r="R88" s="501"/>
      <c r="S88" s="501"/>
      <c r="T88" s="501"/>
      <c r="U88" s="501"/>
      <c r="V88" s="501"/>
      <c r="W88" s="501"/>
      <c r="X88" s="501"/>
      <c r="Y88" s="501"/>
      <c r="Z88" s="501"/>
      <c r="AA88" s="501"/>
      <c r="AB88" s="501"/>
      <c r="AC88" s="501"/>
      <c r="AD88" s="501"/>
      <c r="AE88" s="501"/>
      <c r="AG88" s="175"/>
      <c r="AH88" s="175"/>
      <c r="AI88" s="175"/>
      <c r="AJ88" s="175"/>
      <c r="AK88" s="175"/>
      <c r="AL88" s="175"/>
      <c r="AM88" s="175"/>
      <c r="AN88" s="175"/>
      <c r="AO88" s="175"/>
    </row>
    <row r="89" spans="2:41" ht="25.15" customHeight="1">
      <c r="B89" s="350" t="s">
        <v>307</v>
      </c>
      <c r="C89" s="351">
        <v>151476.53860534518</v>
      </c>
      <c r="D89" s="351">
        <v>169551.73675488788</v>
      </c>
      <c r="E89" s="351">
        <v>156846.94409022285</v>
      </c>
      <c r="F89" s="351">
        <v>173884.17688676837</v>
      </c>
      <c r="G89" s="351">
        <v>192483.02436804777</v>
      </c>
      <c r="H89" s="351">
        <v>198073.89303203812</v>
      </c>
      <c r="I89" s="351">
        <v>199453.14790133145</v>
      </c>
      <c r="J89" s="351">
        <v>210608.56936492145</v>
      </c>
      <c r="K89" s="351">
        <v>215139.79339667808</v>
      </c>
      <c r="L89" s="351">
        <v>218523.5256068272</v>
      </c>
      <c r="M89" s="351">
        <v>214895.75018607578</v>
      </c>
      <c r="N89" s="351">
        <v>230323.52707196158</v>
      </c>
      <c r="O89" s="351">
        <v>275562.43884118181</v>
      </c>
      <c r="P89" s="351">
        <v>298360.87646439759</v>
      </c>
      <c r="Q89" s="352" t="s">
        <v>99</v>
      </c>
      <c r="R89" s="501"/>
      <c r="S89" s="501"/>
      <c r="T89" s="501"/>
      <c r="U89" s="501"/>
      <c r="V89" s="501"/>
      <c r="W89" s="501"/>
      <c r="X89" s="501"/>
      <c r="Y89" s="501"/>
      <c r="Z89" s="501"/>
      <c r="AA89" s="501"/>
      <c r="AB89" s="501"/>
      <c r="AC89" s="501"/>
      <c r="AD89" s="501"/>
      <c r="AE89" s="501"/>
      <c r="AG89" s="175"/>
      <c r="AH89" s="175"/>
      <c r="AI89" s="175"/>
      <c r="AJ89" s="175"/>
      <c r="AK89" s="175"/>
      <c r="AL89" s="175"/>
      <c r="AM89" s="175"/>
      <c r="AN89" s="175"/>
      <c r="AO89" s="175"/>
    </row>
    <row r="90" spans="2:41" ht="25.15" customHeight="1">
      <c r="B90" s="47" t="s">
        <v>180</v>
      </c>
      <c r="C90" s="265">
        <v>122407.76271084917</v>
      </c>
      <c r="D90" s="265">
        <v>134648.84277061207</v>
      </c>
      <c r="E90" s="265">
        <v>120397.63163276883</v>
      </c>
      <c r="F90" s="265">
        <v>131033.0936934949</v>
      </c>
      <c r="G90" s="265">
        <v>148412.62335808089</v>
      </c>
      <c r="H90" s="265">
        <v>153562.79704837577</v>
      </c>
      <c r="I90" s="265">
        <v>154727.85991726289</v>
      </c>
      <c r="J90" s="265">
        <v>159662.6197393258</v>
      </c>
      <c r="K90" s="265">
        <v>161715.98865568114</v>
      </c>
      <c r="L90" s="265">
        <v>163818.99711301594</v>
      </c>
      <c r="M90" s="265">
        <v>161847.26826969208</v>
      </c>
      <c r="N90" s="265">
        <v>169662.19574265997</v>
      </c>
      <c r="O90" s="265">
        <v>211979.31291711758</v>
      </c>
      <c r="P90" s="265">
        <v>234509.98190716378</v>
      </c>
      <c r="Q90" s="203" t="s">
        <v>195</v>
      </c>
      <c r="R90" s="501"/>
      <c r="S90" s="501"/>
      <c r="T90" s="501"/>
      <c r="U90" s="501"/>
      <c r="V90" s="501"/>
      <c r="W90" s="501"/>
      <c r="X90" s="501"/>
      <c r="Y90" s="501"/>
      <c r="Z90" s="501"/>
      <c r="AA90" s="501"/>
      <c r="AB90" s="501"/>
      <c r="AC90" s="501"/>
      <c r="AD90" s="501"/>
      <c r="AE90" s="501"/>
      <c r="AG90" s="175"/>
      <c r="AH90" s="175"/>
      <c r="AI90" s="175"/>
      <c r="AJ90" s="175"/>
      <c r="AK90" s="175"/>
      <c r="AL90" s="175"/>
      <c r="AM90" s="175"/>
      <c r="AN90" s="175"/>
      <c r="AO90" s="175"/>
    </row>
    <row r="91" spans="2:41" ht="25.15" customHeight="1">
      <c r="B91" s="364" t="s">
        <v>194</v>
      </c>
      <c r="C91" s="355">
        <v>29068.775894496015</v>
      </c>
      <c r="D91" s="355">
        <v>34902.893984275812</v>
      </c>
      <c r="E91" s="355">
        <v>36449.312457454056</v>
      </c>
      <c r="F91" s="355">
        <v>42851.083193273495</v>
      </c>
      <c r="G91" s="355">
        <v>44070.401009966918</v>
      </c>
      <c r="H91" s="355">
        <v>44511.095983662359</v>
      </c>
      <c r="I91" s="355">
        <v>44725.287984068535</v>
      </c>
      <c r="J91" s="355">
        <v>50945.949625595647</v>
      </c>
      <c r="K91" s="355">
        <v>53423.804740996944</v>
      </c>
      <c r="L91" s="355">
        <v>54704.52849381126</v>
      </c>
      <c r="M91" s="355">
        <v>53048.481916383666</v>
      </c>
      <c r="N91" s="355">
        <v>60661.331329301604</v>
      </c>
      <c r="O91" s="355">
        <v>63583.125924064225</v>
      </c>
      <c r="P91" s="355">
        <v>63850.894557233747</v>
      </c>
      <c r="Q91" s="366" t="s">
        <v>196</v>
      </c>
      <c r="R91" s="501"/>
      <c r="S91" s="501"/>
      <c r="T91" s="501"/>
      <c r="U91" s="501"/>
      <c r="V91" s="501"/>
      <c r="W91" s="501"/>
      <c r="X91" s="501"/>
      <c r="Y91" s="501"/>
      <c r="Z91" s="501"/>
      <c r="AA91" s="501"/>
      <c r="AB91" s="501"/>
      <c r="AC91" s="501"/>
      <c r="AD91" s="501"/>
      <c r="AE91" s="501"/>
      <c r="AG91" s="175"/>
      <c r="AH91" s="175"/>
      <c r="AI91" s="175"/>
      <c r="AJ91" s="175"/>
      <c r="AK91" s="175"/>
      <c r="AL91" s="175"/>
      <c r="AM91" s="175"/>
      <c r="AN91" s="175"/>
      <c r="AO91" s="175"/>
    </row>
    <row r="92" spans="2:41" ht="25.15" customHeight="1">
      <c r="B92" s="17" t="s">
        <v>207</v>
      </c>
      <c r="C92" s="265">
        <v>88995.155341236066</v>
      </c>
      <c r="D92" s="265">
        <v>91386.108317453429</v>
      </c>
      <c r="E92" s="265">
        <v>91997.898788704988</v>
      </c>
      <c r="F92" s="265">
        <v>86599.294998335899</v>
      </c>
      <c r="G92" s="265">
        <v>94005.18786397377</v>
      </c>
      <c r="H92" s="265">
        <v>82671.283811994042</v>
      </c>
      <c r="I92" s="265">
        <v>79890.673909661768</v>
      </c>
      <c r="J92" s="265">
        <v>83107.690063424612</v>
      </c>
      <c r="K92" s="265">
        <v>93227.542088270347</v>
      </c>
      <c r="L92" s="265">
        <v>100607.10831282784</v>
      </c>
      <c r="M92" s="265">
        <v>81528.081096468974</v>
      </c>
      <c r="N92" s="265">
        <v>107228.30858423917</v>
      </c>
      <c r="O92" s="265">
        <v>133263.98240123273</v>
      </c>
      <c r="P92" s="265">
        <v>139219.61291661536</v>
      </c>
      <c r="Q92" s="18" t="s">
        <v>315</v>
      </c>
      <c r="R92" s="501"/>
      <c r="S92" s="501"/>
      <c r="T92" s="501"/>
      <c r="U92" s="501"/>
      <c r="V92" s="501"/>
      <c r="W92" s="501"/>
      <c r="X92" s="501"/>
      <c r="Y92" s="501"/>
      <c r="Z92" s="501"/>
      <c r="AA92" s="501"/>
      <c r="AB92" s="501"/>
      <c r="AC92" s="501"/>
      <c r="AD92" s="501"/>
      <c r="AE92" s="501"/>
      <c r="AG92" s="175"/>
      <c r="AH92" s="175"/>
      <c r="AI92" s="175"/>
      <c r="AJ92" s="175"/>
      <c r="AK92" s="175"/>
      <c r="AL92" s="175"/>
      <c r="AM92" s="175"/>
      <c r="AN92" s="175"/>
      <c r="AO92" s="175"/>
    </row>
    <row r="93" spans="2:41" ht="25.15" customHeight="1">
      <c r="B93" s="350" t="s">
        <v>98</v>
      </c>
      <c r="C93" s="351">
        <v>238328.11436351261</v>
      </c>
      <c r="D93" s="351">
        <v>315867.93737236218</v>
      </c>
      <c r="E93" s="351">
        <v>375513.95507147722</v>
      </c>
      <c r="F93" s="351">
        <v>392244.52008168824</v>
      </c>
      <c r="G93" s="351">
        <v>402728.11436351261</v>
      </c>
      <c r="H93" s="351">
        <v>358529.6119809394</v>
      </c>
      <c r="I93" s="351">
        <v>360626.27637848881</v>
      </c>
      <c r="J93" s="351">
        <v>382137.50850918994</v>
      </c>
      <c r="K93" s="351">
        <v>400217.83526208304</v>
      </c>
      <c r="L93" s="351">
        <v>404863.17222600407</v>
      </c>
      <c r="M93" s="351">
        <v>350277.35874744726</v>
      </c>
      <c r="N93" s="351">
        <v>425155.88835942821</v>
      </c>
      <c r="O93" s="351">
        <v>521897.34513274342</v>
      </c>
      <c r="P93" s="351">
        <v>558401.54299977305</v>
      </c>
      <c r="Q93" s="357" t="s">
        <v>95</v>
      </c>
      <c r="R93" s="501"/>
      <c r="S93" s="501"/>
      <c r="T93" s="501"/>
      <c r="U93" s="501"/>
      <c r="V93" s="501"/>
      <c r="W93" s="501"/>
      <c r="X93" s="501"/>
      <c r="Y93" s="501"/>
      <c r="Z93" s="501"/>
      <c r="AA93" s="501"/>
      <c r="AB93" s="501"/>
      <c r="AC93" s="501"/>
      <c r="AD93" s="501"/>
      <c r="AE93" s="501"/>
      <c r="AG93" s="175"/>
      <c r="AH93" s="175"/>
      <c r="AI93" s="175"/>
      <c r="AJ93" s="175"/>
      <c r="AK93" s="175"/>
      <c r="AL93" s="175"/>
      <c r="AM93" s="175"/>
      <c r="AN93" s="175"/>
      <c r="AO93" s="175"/>
    </row>
    <row r="94" spans="2:41" ht="25.15" customHeight="1">
      <c r="B94" s="47" t="s">
        <v>166</v>
      </c>
      <c r="C94" s="265">
        <v>226592.2396187883</v>
      </c>
      <c r="D94" s="265">
        <v>303070.11572498298</v>
      </c>
      <c r="E94" s="265">
        <v>360445.20081688225</v>
      </c>
      <c r="F94" s="265">
        <v>371005.5820285909</v>
      </c>
      <c r="G94" s="265">
        <v>378902.38257317903</v>
      </c>
      <c r="H94" s="265">
        <v>297753.57385976857</v>
      </c>
      <c r="I94" s="265">
        <v>295030.63308373041</v>
      </c>
      <c r="J94" s="265">
        <v>311640.57181756297</v>
      </c>
      <c r="K94" s="265">
        <v>328386.6575901974</v>
      </c>
      <c r="L94" s="265">
        <v>314597.68550034036</v>
      </c>
      <c r="M94" s="265">
        <v>272156.18788291357</v>
      </c>
      <c r="N94" s="265">
        <v>323317.90333560249</v>
      </c>
      <c r="O94" s="265">
        <v>367506.60313138197</v>
      </c>
      <c r="P94" s="265">
        <v>396359.33741774451</v>
      </c>
      <c r="Q94" s="46" t="s">
        <v>168</v>
      </c>
      <c r="R94" s="501"/>
      <c r="S94" s="501"/>
      <c r="T94" s="501"/>
      <c r="U94" s="501"/>
      <c r="V94" s="501"/>
      <c r="W94" s="501"/>
      <c r="X94" s="501"/>
      <c r="Y94" s="501"/>
      <c r="Z94" s="501"/>
      <c r="AA94" s="501"/>
      <c r="AB94" s="501"/>
      <c r="AC94" s="501"/>
      <c r="AD94" s="501"/>
      <c r="AE94" s="501"/>
      <c r="AG94" s="175"/>
      <c r="AH94" s="175"/>
      <c r="AI94" s="175"/>
      <c r="AJ94" s="175"/>
      <c r="AK94" s="175"/>
      <c r="AL94" s="175"/>
      <c r="AM94" s="175"/>
      <c r="AN94" s="175"/>
      <c r="AO94" s="175"/>
    </row>
    <row r="95" spans="2:41" ht="25.15" customHeight="1">
      <c r="B95" s="364" t="s">
        <v>167</v>
      </c>
      <c r="C95" s="355">
        <v>11735.874744724302</v>
      </c>
      <c r="D95" s="355">
        <v>12797.821647379171</v>
      </c>
      <c r="E95" s="355">
        <v>15068.754254594964</v>
      </c>
      <c r="F95" s="355">
        <v>21238.938053097347</v>
      </c>
      <c r="G95" s="355">
        <v>23825.731790333561</v>
      </c>
      <c r="H95" s="355">
        <v>60776.038121170866</v>
      </c>
      <c r="I95" s="355">
        <v>65595.643294758338</v>
      </c>
      <c r="J95" s="355">
        <v>70496.936691626965</v>
      </c>
      <c r="K95" s="355">
        <v>71831.177671885642</v>
      </c>
      <c r="L95" s="355">
        <v>90265.486725663723</v>
      </c>
      <c r="M95" s="355">
        <v>78121.170864533706</v>
      </c>
      <c r="N95" s="355">
        <v>101837.98502382573</v>
      </c>
      <c r="O95" s="355">
        <v>154390.74200136148</v>
      </c>
      <c r="P95" s="355">
        <v>162042.20558202858</v>
      </c>
      <c r="Q95" s="358" t="s">
        <v>169</v>
      </c>
      <c r="R95" s="501"/>
      <c r="S95" s="501"/>
      <c r="T95" s="501"/>
      <c r="U95" s="501"/>
      <c r="V95" s="501"/>
      <c r="W95" s="501"/>
      <c r="X95" s="501"/>
      <c r="Y95" s="501"/>
      <c r="Z95" s="501"/>
      <c r="AA95" s="501"/>
      <c r="AB95" s="501"/>
      <c r="AC95" s="501"/>
      <c r="AD95" s="501"/>
      <c r="AE95" s="501"/>
      <c r="AG95" s="175"/>
      <c r="AH95" s="175"/>
      <c r="AI95" s="175"/>
      <c r="AJ95" s="175"/>
      <c r="AK95" s="175"/>
      <c r="AL95" s="175"/>
      <c r="AM95" s="175"/>
      <c r="AN95" s="175"/>
      <c r="AO95" s="175"/>
    </row>
    <row r="96" spans="2:41" ht="25.15" customHeight="1">
      <c r="B96" s="17" t="s">
        <v>97</v>
      </c>
      <c r="C96" s="265">
        <v>178610.75561606535</v>
      </c>
      <c r="D96" s="265">
        <v>215973.04288631724</v>
      </c>
      <c r="E96" s="265">
        <v>239748.67256637168</v>
      </c>
      <c r="F96" s="265">
        <v>252509.46221919675</v>
      </c>
      <c r="G96" s="265">
        <v>275110.95983662357</v>
      </c>
      <c r="H96" s="265">
        <v>268999.31926480599</v>
      </c>
      <c r="I96" s="265">
        <v>270714.77195371001</v>
      </c>
      <c r="J96" s="265">
        <v>285336.96392103471</v>
      </c>
      <c r="K96" s="265">
        <v>281535.73859768553</v>
      </c>
      <c r="L96" s="265">
        <v>306004.08441116405</v>
      </c>
      <c r="M96" s="265">
        <v>297228.17469305219</v>
      </c>
      <c r="N96" s="265">
        <v>347528.93124574539</v>
      </c>
      <c r="O96" s="265">
        <v>427991.83117767191</v>
      </c>
      <c r="P96" s="265">
        <v>481851.59972770594</v>
      </c>
      <c r="Q96" s="18" t="s">
        <v>96</v>
      </c>
      <c r="R96" s="501"/>
      <c r="S96" s="501"/>
      <c r="T96" s="501"/>
      <c r="U96" s="501"/>
      <c r="V96" s="501"/>
      <c r="W96" s="501"/>
      <c r="X96" s="501"/>
      <c r="Y96" s="501"/>
      <c r="Z96" s="501"/>
      <c r="AA96" s="501"/>
      <c r="AB96" s="501"/>
      <c r="AC96" s="501"/>
      <c r="AD96" s="501"/>
      <c r="AE96" s="501"/>
      <c r="AG96" s="175"/>
      <c r="AH96" s="175"/>
      <c r="AI96" s="175"/>
      <c r="AJ96" s="175"/>
      <c r="AK96" s="175"/>
      <c r="AL96" s="175"/>
      <c r="AM96" s="175"/>
      <c r="AN96" s="175"/>
      <c r="AO96" s="175"/>
    </row>
    <row r="97" spans="2:41" ht="25.15" customHeight="1">
      <c r="B97" s="47" t="s">
        <v>170</v>
      </c>
      <c r="C97" s="265">
        <v>136511.09598366235</v>
      </c>
      <c r="D97" s="265">
        <v>159400.13614703881</v>
      </c>
      <c r="E97" s="265">
        <v>176600.95302927162</v>
      </c>
      <c r="F97" s="265">
        <v>190317.49489448604</v>
      </c>
      <c r="G97" s="265">
        <v>210250.51055139551</v>
      </c>
      <c r="H97" s="265">
        <v>187120.49012933968</v>
      </c>
      <c r="I97" s="265">
        <v>186875.42545949627</v>
      </c>
      <c r="J97" s="265">
        <v>213533.01565690947</v>
      </c>
      <c r="K97" s="265">
        <v>209214.431586113</v>
      </c>
      <c r="L97" s="265">
        <v>217808.03267528932</v>
      </c>
      <c r="M97" s="265">
        <v>235362.9602614661</v>
      </c>
      <c r="N97" s="265">
        <v>271422.73655547993</v>
      </c>
      <c r="O97" s="265">
        <v>331082.36895847518</v>
      </c>
      <c r="P97" s="265">
        <v>376664.39754935331</v>
      </c>
      <c r="Q97" s="46" t="s">
        <v>172</v>
      </c>
      <c r="R97" s="501"/>
      <c r="S97" s="501"/>
      <c r="T97" s="501"/>
      <c r="U97" s="501"/>
      <c r="V97" s="501"/>
      <c r="W97" s="501"/>
      <c r="X97" s="501"/>
      <c r="Y97" s="501"/>
      <c r="Z97" s="501"/>
      <c r="AA97" s="501"/>
      <c r="AB97" s="501"/>
      <c r="AC97" s="501"/>
      <c r="AD97" s="501"/>
      <c r="AE97" s="501"/>
      <c r="AG97" s="175"/>
      <c r="AH97" s="175"/>
      <c r="AI97" s="175"/>
      <c r="AJ97" s="175"/>
      <c r="AK97" s="175"/>
      <c r="AL97" s="175"/>
      <c r="AM97" s="175"/>
      <c r="AN97" s="175"/>
      <c r="AO97" s="175"/>
    </row>
    <row r="98" spans="2:41" ht="25.15" customHeight="1">
      <c r="B98" s="47" t="s">
        <v>171</v>
      </c>
      <c r="C98" s="265">
        <v>42099.659632402996</v>
      </c>
      <c r="D98" s="265">
        <v>56572.90673927842</v>
      </c>
      <c r="E98" s="265">
        <v>63147.719537100071</v>
      </c>
      <c r="F98" s="265">
        <v>62191.967324710691</v>
      </c>
      <c r="G98" s="265">
        <v>64860.449285228045</v>
      </c>
      <c r="H98" s="265">
        <v>81878.829135466309</v>
      </c>
      <c r="I98" s="265">
        <v>83839.346494213751</v>
      </c>
      <c r="J98" s="265">
        <v>71803.948264125254</v>
      </c>
      <c r="K98" s="265">
        <v>72321.307011572499</v>
      </c>
      <c r="L98" s="265">
        <v>88196.051735874746</v>
      </c>
      <c r="M98" s="265">
        <v>61865.214431586115</v>
      </c>
      <c r="N98" s="265">
        <v>76106.194690265489</v>
      </c>
      <c r="O98" s="265">
        <v>96909.462219196736</v>
      </c>
      <c r="P98" s="265">
        <v>105187.20217835263</v>
      </c>
      <c r="Q98" s="46" t="s">
        <v>173</v>
      </c>
      <c r="R98" s="501"/>
      <c r="S98" s="501"/>
      <c r="T98" s="501"/>
      <c r="U98" s="501"/>
      <c r="V98" s="501"/>
      <c r="W98" s="501"/>
      <c r="X98" s="501"/>
      <c r="Y98" s="501"/>
      <c r="Z98" s="501"/>
      <c r="AA98" s="501"/>
      <c r="AB98" s="501"/>
      <c r="AC98" s="501"/>
      <c r="AD98" s="501"/>
      <c r="AE98" s="501"/>
      <c r="AG98" s="175"/>
      <c r="AH98" s="175"/>
      <c r="AI98" s="175"/>
      <c r="AJ98" s="175"/>
      <c r="AK98" s="175"/>
      <c r="AL98" s="175"/>
      <c r="AM98" s="175"/>
      <c r="AN98" s="175"/>
      <c r="AO98" s="175"/>
    </row>
    <row r="99" spans="2:41" ht="25.15" customHeight="1" thickBot="1">
      <c r="B99" s="359" t="s">
        <v>66</v>
      </c>
      <c r="C99" s="360">
        <v>81607.319938174216</v>
      </c>
      <c r="D99" s="360">
        <v>87875.818970994442</v>
      </c>
      <c r="E99" s="360">
        <v>95087.225940307675</v>
      </c>
      <c r="F99" s="360">
        <v>107289.52922031279</v>
      </c>
      <c r="G99" s="360">
        <v>114409.25665097366</v>
      </c>
      <c r="H99" s="360">
        <v>120383.18334606304</v>
      </c>
      <c r="I99" s="360">
        <v>128595.3965272752</v>
      </c>
      <c r="J99" s="360">
        <v>135184.67726322738</v>
      </c>
      <c r="K99" s="360">
        <v>140823.54800502889</v>
      </c>
      <c r="L99" s="360">
        <v>144003.1190207731</v>
      </c>
      <c r="M99" s="360">
        <v>138592.62994106064</v>
      </c>
      <c r="N99" s="360">
        <v>146034.25796948376</v>
      </c>
      <c r="O99" s="360">
        <v>161696.93491352419</v>
      </c>
      <c r="P99" s="360">
        <v>169968.57341461687</v>
      </c>
      <c r="Q99" s="361" t="s">
        <v>112</v>
      </c>
      <c r="R99" s="501"/>
      <c r="S99" s="501"/>
      <c r="T99" s="501"/>
      <c r="U99" s="501"/>
      <c r="V99" s="501"/>
      <c r="W99" s="501"/>
      <c r="X99" s="501"/>
      <c r="Y99" s="501"/>
      <c r="Z99" s="501"/>
      <c r="AA99" s="501"/>
      <c r="AB99" s="501"/>
      <c r="AC99" s="501"/>
      <c r="AD99" s="501"/>
      <c r="AE99" s="501"/>
      <c r="AG99" s="175"/>
      <c r="AH99" s="175"/>
      <c r="AI99" s="175"/>
      <c r="AJ99" s="175"/>
      <c r="AK99" s="175"/>
      <c r="AL99" s="175"/>
      <c r="AM99" s="175"/>
      <c r="AN99" s="175"/>
      <c r="AO99" s="175"/>
    </row>
    <row r="100" spans="2:41" s="102" customFormat="1" ht="24.95" customHeight="1">
      <c r="B100" s="534" t="s">
        <v>326</v>
      </c>
      <c r="C100" s="534"/>
      <c r="D100" s="334"/>
      <c r="E100" s="334"/>
      <c r="F100" s="334"/>
      <c r="G100" s="334"/>
      <c r="H100" s="334"/>
      <c r="I100" s="334"/>
      <c r="J100" s="334"/>
      <c r="K100" s="334"/>
      <c r="L100" s="334"/>
      <c r="M100" s="334"/>
      <c r="N100" s="334"/>
      <c r="O100" s="334"/>
      <c r="P100" s="334"/>
      <c r="Q100" s="313" t="s">
        <v>327</v>
      </c>
      <c r="AF100" s="99"/>
    </row>
    <row r="101" spans="2:41" s="102" customFormat="1" ht="24.95" customHeight="1">
      <c r="B101" s="535" t="s">
        <v>399</v>
      </c>
      <c r="C101" s="535"/>
      <c r="D101" s="335"/>
      <c r="E101" s="335"/>
      <c r="F101" s="336"/>
      <c r="G101" s="336"/>
      <c r="H101" s="101"/>
      <c r="I101" s="101"/>
      <c r="J101" s="101"/>
      <c r="K101" s="101"/>
      <c r="L101" s="101"/>
      <c r="M101" s="101"/>
      <c r="N101" s="337"/>
      <c r="O101" s="337"/>
      <c r="P101" s="337"/>
      <c r="Q101" s="313" t="s">
        <v>193</v>
      </c>
      <c r="AF101" s="99"/>
    </row>
    <row r="102" spans="2:41" s="102" customFormat="1" ht="24.95" customHeight="1">
      <c r="B102" s="81" t="s">
        <v>192</v>
      </c>
      <c r="C102" s="81"/>
      <c r="D102" s="338"/>
      <c r="E102" s="338"/>
      <c r="F102" s="339"/>
      <c r="G102" s="340"/>
      <c r="H102" s="14"/>
      <c r="I102" s="14"/>
      <c r="J102" s="14"/>
      <c r="Q102" s="81" t="s">
        <v>551</v>
      </c>
      <c r="AF102" s="99"/>
    </row>
    <row r="103" spans="2:41" s="102" customFormat="1" ht="24.95" customHeight="1">
      <c r="B103" s="341"/>
      <c r="C103" s="341"/>
      <c r="D103" s="341"/>
      <c r="E103" s="341"/>
      <c r="F103" s="341"/>
      <c r="G103" s="341"/>
      <c r="H103" s="341"/>
      <c r="I103" s="341"/>
      <c r="J103" s="341"/>
      <c r="K103" s="341"/>
      <c r="L103" s="341"/>
      <c r="M103" s="341"/>
      <c r="N103" s="341"/>
      <c r="O103" s="341"/>
      <c r="P103" s="341"/>
      <c r="Q103" s="341"/>
      <c r="AF103" s="99"/>
    </row>
    <row r="104" spans="2:41" ht="25.15" customHeight="1">
      <c r="B104" s="549" t="s">
        <v>431</v>
      </c>
      <c r="C104" s="549"/>
      <c r="D104" s="549"/>
      <c r="E104" s="549"/>
      <c r="F104" s="549"/>
      <c r="G104" s="549"/>
      <c r="H104" s="549"/>
      <c r="I104" s="549"/>
      <c r="J104" s="549"/>
      <c r="K104" s="549"/>
      <c r="L104" s="549"/>
      <c r="M104" s="549"/>
      <c r="N104" s="549"/>
      <c r="O104" s="549"/>
      <c r="P104" s="549"/>
      <c r="Q104" s="549"/>
    </row>
    <row r="105" spans="2:41" ht="25.15" customHeight="1">
      <c r="B105" s="550" t="s">
        <v>432</v>
      </c>
      <c r="C105" s="550"/>
      <c r="D105" s="550"/>
      <c r="E105" s="550"/>
      <c r="F105" s="550"/>
      <c r="G105" s="550"/>
      <c r="H105" s="550"/>
      <c r="I105" s="550"/>
      <c r="J105" s="550"/>
      <c r="K105" s="550"/>
      <c r="L105" s="550"/>
      <c r="M105" s="550"/>
      <c r="N105" s="550"/>
      <c r="O105" s="550"/>
      <c r="P105" s="550"/>
      <c r="Q105" s="550"/>
    </row>
    <row r="106" spans="2:41" ht="25.15" customHeight="1">
      <c r="B106" s="298"/>
      <c r="C106" s="298"/>
      <c r="D106" s="298"/>
      <c r="E106" s="298"/>
      <c r="F106" s="298"/>
      <c r="G106" s="298"/>
      <c r="H106" s="298"/>
      <c r="I106" s="298"/>
      <c r="J106" s="298"/>
      <c r="K106" s="298"/>
      <c r="L106" s="298"/>
      <c r="M106" s="298"/>
      <c r="N106" s="298"/>
      <c r="O106" s="298"/>
      <c r="P106" s="298"/>
      <c r="Q106" s="64" t="s">
        <v>429</v>
      </c>
    </row>
    <row r="107" spans="2:41" ht="25.15" customHeight="1">
      <c r="B107" s="87" t="s">
        <v>2</v>
      </c>
      <c r="C107" s="181">
        <v>2010</v>
      </c>
      <c r="D107" s="181">
        <v>2011</v>
      </c>
      <c r="E107" s="181">
        <v>2012</v>
      </c>
      <c r="F107" s="181">
        <v>2013</v>
      </c>
      <c r="G107" s="181">
        <v>2014</v>
      </c>
      <c r="H107" s="181">
        <v>2015</v>
      </c>
      <c r="I107" s="181">
        <v>2016</v>
      </c>
      <c r="J107" s="181">
        <v>2017</v>
      </c>
      <c r="K107" s="5">
        <v>2018</v>
      </c>
      <c r="L107" s="181">
        <v>2019</v>
      </c>
      <c r="M107" s="181">
        <v>2020</v>
      </c>
      <c r="N107" s="181">
        <v>2021</v>
      </c>
      <c r="O107" s="181" t="s">
        <v>185</v>
      </c>
      <c r="P107" s="181" t="s">
        <v>186</v>
      </c>
      <c r="Q107" s="3" t="s">
        <v>18</v>
      </c>
    </row>
    <row r="108" spans="2:41" ht="25.15" customHeight="1">
      <c r="B108" s="17" t="s">
        <v>85</v>
      </c>
      <c r="C108" s="346">
        <v>36.324601884305011</v>
      </c>
      <c r="D108" s="346">
        <v>42.98688620533099</v>
      </c>
      <c r="E108" s="346">
        <v>45.108017180006087</v>
      </c>
      <c r="F108" s="346">
        <v>46.207434266571276</v>
      </c>
      <c r="G108" s="346">
        <v>47.063626534325444</v>
      </c>
      <c r="H108" s="346">
        <v>41.422591626305831</v>
      </c>
      <c r="I108" s="346">
        <v>40.483342343778155</v>
      </c>
      <c r="J108" s="346">
        <v>41.971751702631082</v>
      </c>
      <c r="K108" s="346">
        <v>45.591680785570752</v>
      </c>
      <c r="L108" s="346">
        <v>43.967506764850739</v>
      </c>
      <c r="M108" s="346">
        <v>37.636371338550695</v>
      </c>
      <c r="N108" s="346">
        <v>42.107809690755843</v>
      </c>
      <c r="O108" s="346">
        <v>48.897382536532945</v>
      </c>
      <c r="P108" s="346">
        <v>48.140644446538957</v>
      </c>
      <c r="Q108" s="18" t="s">
        <v>20</v>
      </c>
      <c r="AG108" s="174"/>
      <c r="AH108" s="174"/>
      <c r="AI108" s="174"/>
      <c r="AJ108" s="174"/>
      <c r="AK108" s="174"/>
      <c r="AL108" s="174"/>
      <c r="AM108" s="174"/>
      <c r="AN108" s="174"/>
      <c r="AO108" s="174"/>
    </row>
    <row r="109" spans="2:41" ht="25.15" customHeight="1">
      <c r="B109" s="17" t="s">
        <v>311</v>
      </c>
      <c r="C109" s="346">
        <v>36.324601884305011</v>
      </c>
      <c r="D109" s="346">
        <v>37.985280933947827</v>
      </c>
      <c r="E109" s="346">
        <v>38.077683405330028</v>
      </c>
      <c r="F109" s="346">
        <v>39.379590687955556</v>
      </c>
      <c r="G109" s="346">
        <v>40.379019446548931</v>
      </c>
      <c r="H109" s="346">
        <v>42.443484037869908</v>
      </c>
      <c r="I109" s="346">
        <v>43.909026439485643</v>
      </c>
      <c r="J109" s="346">
        <v>43.361297674933262</v>
      </c>
      <c r="K109" s="346">
        <v>43.637659557675818</v>
      </c>
      <c r="L109" s="346">
        <v>43.471762340561007</v>
      </c>
      <c r="M109" s="346">
        <v>42.301425687693502</v>
      </c>
      <c r="N109" s="346">
        <v>41.571973403521994</v>
      </c>
      <c r="O109" s="346">
        <v>42.861752800210404</v>
      </c>
      <c r="P109" s="346">
        <v>42.756046819346352</v>
      </c>
      <c r="Q109" s="18" t="s">
        <v>312</v>
      </c>
      <c r="AF109" s="174"/>
      <c r="AG109" s="174"/>
      <c r="AH109" s="174"/>
      <c r="AI109" s="174"/>
      <c r="AJ109" s="174"/>
      <c r="AK109" s="174"/>
      <c r="AL109" s="174"/>
      <c r="AM109" s="174"/>
      <c r="AN109" s="174"/>
      <c r="AO109" s="174"/>
    </row>
    <row r="110" spans="2:41" ht="25.15" customHeight="1">
      <c r="B110" s="17" t="s">
        <v>136</v>
      </c>
      <c r="C110" s="346">
        <v>36.314453546270357</v>
      </c>
      <c r="D110" s="346">
        <v>43.003008417654918</v>
      </c>
      <c r="E110" s="346">
        <v>45.143146027719425</v>
      </c>
      <c r="F110" s="346">
        <v>46.260878614063088</v>
      </c>
      <c r="G110" s="346">
        <v>47.138517269116676</v>
      </c>
      <c r="H110" s="346">
        <v>41.617544883431812</v>
      </c>
      <c r="I110" s="346">
        <v>40.713210341760139</v>
      </c>
      <c r="J110" s="346">
        <v>42.27025953849612</v>
      </c>
      <c r="K110" s="346">
        <v>45.74371710201298</v>
      </c>
      <c r="L110" s="346">
        <v>44.184356178272886</v>
      </c>
      <c r="M110" s="346">
        <v>37.434031507087823</v>
      </c>
      <c r="N110" s="346">
        <v>42.033245647557614</v>
      </c>
      <c r="O110" s="346">
        <v>48.902679382324052</v>
      </c>
      <c r="P110" s="346">
        <v>48.500141964573892</v>
      </c>
      <c r="Q110" s="18" t="s">
        <v>89</v>
      </c>
      <c r="AF110" s="174"/>
      <c r="AG110" s="174"/>
      <c r="AH110" s="174"/>
      <c r="AI110" s="174"/>
      <c r="AJ110" s="174"/>
      <c r="AK110" s="174"/>
      <c r="AL110" s="174"/>
      <c r="AM110" s="174"/>
      <c r="AN110" s="174"/>
      <c r="AO110" s="174"/>
    </row>
    <row r="111" spans="2:41" ht="25.15" customHeight="1">
      <c r="B111" s="17" t="s">
        <v>299</v>
      </c>
      <c r="C111" s="346">
        <v>34.577003711423963</v>
      </c>
      <c r="D111" s="346">
        <v>41.256742091998063</v>
      </c>
      <c r="E111" s="346">
        <v>43.458380635681053</v>
      </c>
      <c r="F111" s="346">
        <v>44.898123915743241</v>
      </c>
      <c r="G111" s="346">
        <v>45.653935911957106</v>
      </c>
      <c r="H111" s="346">
        <v>40.002068134294461</v>
      </c>
      <c r="I111" s="346">
        <v>39.279787262788169</v>
      </c>
      <c r="J111" s="346">
        <v>40.519698503611934</v>
      </c>
      <c r="K111" s="346">
        <v>43.829870484765316</v>
      </c>
      <c r="L111" s="346">
        <v>42.322602128314607</v>
      </c>
      <c r="M111" s="346">
        <v>36.042076583559293</v>
      </c>
      <c r="N111" s="346">
        <v>40.600893384298828</v>
      </c>
      <c r="O111" s="346">
        <v>47.538410707774084</v>
      </c>
      <c r="P111" s="346">
        <v>47.101583825545937</v>
      </c>
      <c r="Q111" s="18" t="s">
        <v>90</v>
      </c>
      <c r="AF111" s="174"/>
      <c r="AG111" s="174"/>
      <c r="AH111" s="174"/>
      <c r="AI111" s="174"/>
      <c r="AJ111" s="174"/>
      <c r="AK111" s="174"/>
      <c r="AL111" s="174"/>
      <c r="AM111" s="174"/>
      <c r="AN111" s="174"/>
      <c r="AO111" s="174"/>
    </row>
    <row r="112" spans="2:41" ht="25.15" customHeight="1">
      <c r="B112" s="17" t="s">
        <v>4</v>
      </c>
      <c r="C112" s="346">
        <v>33.968474104495129</v>
      </c>
      <c r="D112" s="346">
        <v>40.378688544403694</v>
      </c>
      <c r="E112" s="346">
        <v>42.272161110056665</v>
      </c>
      <c r="F112" s="346">
        <v>43.209838273095009</v>
      </c>
      <c r="G112" s="346">
        <v>43.929356443558483</v>
      </c>
      <c r="H112" s="346">
        <v>37.182358283815894</v>
      </c>
      <c r="I112" s="346">
        <v>36.426321444329865</v>
      </c>
      <c r="J112" s="346">
        <v>37.842393306498003</v>
      </c>
      <c r="K112" s="346">
        <v>40.821286994333668</v>
      </c>
      <c r="L112" s="346">
        <v>39.201265778397918</v>
      </c>
      <c r="M112" s="346">
        <v>31.66001515708211</v>
      </c>
      <c r="N112" s="346">
        <v>36.349808577114246</v>
      </c>
      <c r="O112" s="346">
        <v>42.911946792583571</v>
      </c>
      <c r="P112" s="346">
        <v>42.359656645619495</v>
      </c>
      <c r="Q112" s="18" t="s">
        <v>303</v>
      </c>
      <c r="AF112" s="174"/>
      <c r="AG112" s="174"/>
      <c r="AH112" s="174"/>
      <c r="AI112" s="174"/>
      <c r="AJ112" s="174"/>
      <c r="AK112" s="174"/>
      <c r="AL112" s="174"/>
      <c r="AM112" s="174"/>
      <c r="AN112" s="174"/>
      <c r="AO112" s="174"/>
    </row>
    <row r="113" spans="2:41" ht="25.15" customHeight="1">
      <c r="B113" s="350" t="s">
        <v>307</v>
      </c>
      <c r="C113" s="363">
        <v>18.3295323739205</v>
      </c>
      <c r="D113" s="363">
        <v>20.199112815313843</v>
      </c>
      <c r="E113" s="363">
        <v>18.395393625138659</v>
      </c>
      <c r="F113" s="363">
        <v>20.075886237849708</v>
      </c>
      <c r="G113" s="363">
        <v>21.875952113243979</v>
      </c>
      <c r="H113" s="363">
        <v>22.158459464367848</v>
      </c>
      <c r="I113" s="363">
        <v>21.867064587385745</v>
      </c>
      <c r="J113" s="363">
        <v>22.635672751888347</v>
      </c>
      <c r="K113" s="363">
        <v>22.968265606743081</v>
      </c>
      <c r="L113" s="363">
        <v>22.986054658301189</v>
      </c>
      <c r="M113" s="363">
        <v>23.143120922460156</v>
      </c>
      <c r="N113" s="363">
        <v>23.359620997369301</v>
      </c>
      <c r="O113" s="363">
        <v>26.802120655860431</v>
      </c>
      <c r="P113" s="363">
        <v>27.937044684383071</v>
      </c>
      <c r="Q113" s="352" t="s">
        <v>99</v>
      </c>
      <c r="AF113" s="174"/>
      <c r="AG113" s="174"/>
      <c r="AH113" s="174"/>
      <c r="AI113" s="174"/>
      <c r="AJ113" s="174"/>
      <c r="AK113" s="174"/>
      <c r="AL113" s="174"/>
      <c r="AM113" s="174"/>
      <c r="AN113" s="174"/>
      <c r="AO113" s="174"/>
    </row>
    <row r="114" spans="2:41" ht="25.15" customHeight="1">
      <c r="B114" s="47" t="s">
        <v>180</v>
      </c>
      <c r="C114" s="346">
        <v>14.812043304431008</v>
      </c>
      <c r="D114" s="346">
        <v>16.041045745859293</v>
      </c>
      <c r="E114" s="346">
        <v>14.12052901805491</v>
      </c>
      <c r="F114" s="346">
        <v>15.128492594798487</v>
      </c>
      <c r="G114" s="346">
        <v>16.867292335215613</v>
      </c>
      <c r="H114" s="346">
        <v>17.179018201459783</v>
      </c>
      <c r="I114" s="346">
        <v>16.963603442110305</v>
      </c>
      <c r="J114" s="346">
        <v>17.160131812426243</v>
      </c>
      <c r="K114" s="346">
        <v>17.264754798068367</v>
      </c>
      <c r="L114" s="346">
        <v>17.231794202711804</v>
      </c>
      <c r="M114" s="346">
        <v>17.430083644241527</v>
      </c>
      <c r="N114" s="346">
        <v>17.207293759841374</v>
      </c>
      <c r="O114" s="346">
        <v>20.6178140433191</v>
      </c>
      <c r="P114" s="346">
        <v>21.958361032821511</v>
      </c>
      <c r="Q114" s="326" t="s">
        <v>195</v>
      </c>
      <c r="AF114" s="174"/>
      <c r="AG114" s="174"/>
      <c r="AH114" s="174"/>
      <c r="AI114" s="174"/>
      <c r="AJ114" s="174"/>
      <c r="AK114" s="174"/>
      <c r="AL114" s="174"/>
      <c r="AM114" s="174"/>
      <c r="AN114" s="174"/>
      <c r="AO114" s="174"/>
    </row>
    <row r="115" spans="2:41" ht="25.15" customHeight="1">
      <c r="B115" s="364" t="s">
        <v>194</v>
      </c>
      <c r="C115" s="377">
        <v>3.5174890694894909</v>
      </c>
      <c r="D115" s="377">
        <v>4.1580670694545496</v>
      </c>
      <c r="E115" s="377">
        <v>4.2748646070837495</v>
      </c>
      <c r="F115" s="377">
        <v>4.9473936430512229</v>
      </c>
      <c r="G115" s="377">
        <v>5.0086597780283695</v>
      </c>
      <c r="H115" s="377">
        <v>4.9794412629080647</v>
      </c>
      <c r="I115" s="377">
        <v>4.9034611452754389</v>
      </c>
      <c r="J115" s="377">
        <v>5.4755409394621042</v>
      </c>
      <c r="K115" s="377">
        <v>5.7035108086747135</v>
      </c>
      <c r="L115" s="377">
        <v>5.754260455589387</v>
      </c>
      <c r="M115" s="377">
        <v>5.7130372782186249</v>
      </c>
      <c r="N115" s="377">
        <v>6.1523272375279268</v>
      </c>
      <c r="O115" s="377">
        <v>6.1843066125413308</v>
      </c>
      <c r="P115" s="377">
        <v>5.9786836515615569</v>
      </c>
      <c r="Q115" s="378" t="s">
        <v>196</v>
      </c>
      <c r="AF115" s="174"/>
      <c r="AG115" s="174"/>
      <c r="AH115" s="174"/>
      <c r="AI115" s="174"/>
      <c r="AJ115" s="174"/>
      <c r="AK115" s="174"/>
      <c r="AL115" s="174"/>
      <c r="AM115" s="174"/>
      <c r="AN115" s="174"/>
      <c r="AO115" s="174"/>
    </row>
    <row r="116" spans="2:41" ht="25.15" customHeight="1">
      <c r="B116" s="17" t="s">
        <v>304</v>
      </c>
      <c r="C116" s="346">
        <v>15.638941730574633</v>
      </c>
      <c r="D116" s="346">
        <v>20.179575729089851</v>
      </c>
      <c r="E116" s="346">
        <v>23.876767484918009</v>
      </c>
      <c r="F116" s="346">
        <v>23.133952035245297</v>
      </c>
      <c r="G116" s="346">
        <v>22.053404330314503</v>
      </c>
      <c r="H116" s="346">
        <v>15.023898819448048</v>
      </c>
      <c r="I116" s="346">
        <v>14.559256856944121</v>
      </c>
      <c r="J116" s="346">
        <v>15.206720554609657</v>
      </c>
      <c r="K116" s="346">
        <v>17.853021387590594</v>
      </c>
      <c r="L116" s="346">
        <v>16.215211120096733</v>
      </c>
      <c r="M116" s="346">
        <v>8.5168942346219563</v>
      </c>
      <c r="N116" s="346">
        <v>12.990187579744941</v>
      </c>
      <c r="O116" s="346">
        <v>16.109826136723136</v>
      </c>
      <c r="P116" s="346">
        <v>14.422611961236431</v>
      </c>
      <c r="Q116" s="18" t="s">
        <v>314</v>
      </c>
      <c r="AF116" s="174"/>
      <c r="AG116" s="174"/>
      <c r="AH116" s="174"/>
      <c r="AI116" s="174"/>
      <c r="AJ116" s="174"/>
      <c r="AK116" s="174"/>
      <c r="AL116" s="174"/>
      <c r="AM116" s="174"/>
      <c r="AN116" s="174"/>
      <c r="AO116" s="174"/>
    </row>
    <row r="117" spans="2:41" ht="25.15" customHeight="1">
      <c r="B117" s="17" t="s">
        <v>157</v>
      </c>
      <c r="C117" s="346">
        <v>10.768925643325391</v>
      </c>
      <c r="D117" s="346">
        <v>10.887050448355362</v>
      </c>
      <c r="E117" s="346">
        <v>10.789738816526855</v>
      </c>
      <c r="F117" s="346">
        <v>9.9983657270707855</v>
      </c>
      <c r="G117" s="346">
        <v>10.68381481878963</v>
      </c>
      <c r="H117" s="346">
        <v>9.248408577091066</v>
      </c>
      <c r="I117" s="346">
        <v>8.7588215312428535</v>
      </c>
      <c r="J117" s="346">
        <v>8.9322029066229014</v>
      </c>
      <c r="K117" s="346">
        <v>9.9529469408715894</v>
      </c>
      <c r="L117" s="346">
        <v>10.582661451532243</v>
      </c>
      <c r="M117" s="346">
        <v>8.7801375213700066</v>
      </c>
      <c r="N117" s="346">
        <v>10.875192302583105</v>
      </c>
      <c r="O117" s="346">
        <v>12.961698809237403</v>
      </c>
      <c r="P117" s="346">
        <v>13.035839661967559</v>
      </c>
      <c r="Q117" s="18" t="s">
        <v>156</v>
      </c>
      <c r="AF117" s="174"/>
      <c r="AG117" s="174"/>
      <c r="AH117" s="174"/>
      <c r="AI117" s="174"/>
      <c r="AJ117" s="174"/>
      <c r="AK117" s="174"/>
      <c r="AL117" s="174"/>
      <c r="AM117" s="174"/>
      <c r="AN117" s="174"/>
      <c r="AO117" s="174"/>
    </row>
    <row r="118" spans="2:41" s="2" customFormat="1" ht="25.15" customHeight="1">
      <c r="B118" s="17" t="s">
        <v>176</v>
      </c>
      <c r="C118" s="346">
        <v>28.839072559103759</v>
      </c>
      <c r="D118" s="346">
        <v>37.63011941864346</v>
      </c>
      <c r="E118" s="346">
        <v>44.041196054791691</v>
      </c>
      <c r="F118" s="346">
        <v>45.28679091777181</v>
      </c>
      <c r="G118" s="346">
        <v>45.770586644708388</v>
      </c>
      <c r="H118" s="346">
        <v>40.108586509026587</v>
      </c>
      <c r="I118" s="346">
        <v>39.53729565290152</v>
      </c>
      <c r="J118" s="346">
        <v>41.071166358137226</v>
      </c>
      <c r="K118" s="346">
        <v>42.727146827301951</v>
      </c>
      <c r="L118" s="346">
        <v>42.58675115220359</v>
      </c>
      <c r="M118" s="346">
        <v>37.722994814335756</v>
      </c>
      <c r="N118" s="346">
        <v>43.119695773732822</v>
      </c>
      <c r="O118" s="346">
        <v>50.76147414373434</v>
      </c>
      <c r="P118" s="346">
        <v>52.28597342746653</v>
      </c>
      <c r="Q118" s="18" t="s">
        <v>91</v>
      </c>
      <c r="R118" s="99"/>
      <c r="S118" s="99"/>
      <c r="T118" s="99"/>
      <c r="U118" s="99"/>
      <c r="V118" s="99"/>
      <c r="W118" s="99"/>
      <c r="X118" s="99"/>
      <c r="Y118" s="99"/>
      <c r="Z118" s="99"/>
      <c r="AA118" s="99"/>
      <c r="AB118" s="99"/>
      <c r="AC118" s="99"/>
      <c r="AD118" s="99"/>
      <c r="AE118" s="99"/>
      <c r="AF118" s="174"/>
      <c r="AG118" s="174"/>
      <c r="AH118" s="174"/>
      <c r="AI118" s="174"/>
      <c r="AJ118" s="174"/>
      <c r="AK118" s="174"/>
      <c r="AL118" s="174"/>
      <c r="AM118" s="174"/>
      <c r="AN118" s="174"/>
      <c r="AO118" s="174"/>
    </row>
    <row r="119" spans="2:41" ht="25.15" customHeight="1" thickBot="1">
      <c r="B119" s="82" t="s">
        <v>177</v>
      </c>
      <c r="C119" s="362">
        <v>21.61292869204464</v>
      </c>
      <c r="D119" s="362">
        <v>25.72939647698167</v>
      </c>
      <c r="E119" s="362">
        <v>28.118311316451116</v>
      </c>
      <c r="F119" s="362">
        <v>29.153608616121026</v>
      </c>
      <c r="G119" s="362">
        <v>31.266727042416559</v>
      </c>
      <c r="H119" s="362">
        <v>30.092862924179663</v>
      </c>
      <c r="I119" s="362">
        <v>29.679839427751958</v>
      </c>
      <c r="J119" s="362">
        <v>30.667290314017382</v>
      </c>
      <c r="K119" s="362">
        <v>30.056678589345882</v>
      </c>
      <c r="L119" s="362">
        <v>32.187960497186282</v>
      </c>
      <c r="M119" s="362">
        <v>32.009881919615232</v>
      </c>
      <c r="N119" s="362">
        <v>35.246699382929378</v>
      </c>
      <c r="O119" s="362">
        <v>41.627911072299227</v>
      </c>
      <c r="P119" s="362">
        <v>45.118213327278198</v>
      </c>
      <c r="Q119" s="83" t="s">
        <v>92</v>
      </c>
      <c r="AF119" s="174"/>
      <c r="AG119" s="174"/>
      <c r="AH119" s="174"/>
      <c r="AI119" s="174"/>
      <c r="AJ119" s="174"/>
      <c r="AK119" s="174"/>
      <c r="AL119" s="174"/>
      <c r="AM119" s="174"/>
      <c r="AN119" s="174"/>
      <c r="AO119" s="174"/>
    </row>
    <row r="120" spans="2:41" s="102" customFormat="1" ht="24.95" customHeight="1">
      <c r="B120" s="534" t="s">
        <v>326</v>
      </c>
      <c r="C120" s="534"/>
      <c r="D120" s="334"/>
      <c r="E120" s="334"/>
      <c r="F120" s="334"/>
      <c r="G120" s="334"/>
      <c r="H120" s="334"/>
      <c r="I120" s="334"/>
      <c r="J120" s="334"/>
      <c r="K120" s="334"/>
      <c r="L120" s="334"/>
      <c r="M120" s="334"/>
      <c r="N120" s="334"/>
      <c r="O120" s="334"/>
      <c r="P120" s="334"/>
      <c r="Q120" s="313" t="s">
        <v>327</v>
      </c>
    </row>
    <row r="121" spans="2:41" s="102" customFormat="1" ht="24.95" customHeight="1">
      <c r="B121" s="535" t="s">
        <v>399</v>
      </c>
      <c r="C121" s="535"/>
      <c r="D121" s="335"/>
      <c r="E121" s="335"/>
      <c r="F121" s="336"/>
      <c r="G121" s="336"/>
      <c r="H121" s="101"/>
      <c r="I121" s="101"/>
      <c r="J121" s="101"/>
      <c r="K121" s="101"/>
      <c r="L121" s="101"/>
      <c r="M121" s="101"/>
      <c r="N121" s="337"/>
      <c r="O121" s="337"/>
      <c r="P121" s="337"/>
      <c r="Q121" s="313" t="s">
        <v>193</v>
      </c>
    </row>
    <row r="122" spans="2:41" s="102" customFormat="1" ht="24.95" customHeight="1">
      <c r="B122" s="81" t="s">
        <v>192</v>
      </c>
      <c r="C122" s="81"/>
      <c r="D122" s="338"/>
      <c r="E122" s="338"/>
      <c r="F122" s="339"/>
      <c r="G122" s="340"/>
      <c r="H122" s="14"/>
      <c r="I122" s="14"/>
      <c r="J122" s="14"/>
      <c r="Q122" s="81" t="s">
        <v>551</v>
      </c>
    </row>
    <row r="123" spans="2:41" s="102" customFormat="1" ht="24.95" customHeight="1"/>
  </sheetData>
  <mergeCells count="20">
    <mergeCell ref="B120:C120"/>
    <mergeCell ref="B121:C121"/>
    <mergeCell ref="B77:Q77"/>
    <mergeCell ref="B78:Q78"/>
    <mergeCell ref="B104:Q104"/>
    <mergeCell ref="B105:Q105"/>
    <mergeCell ref="B50:Q50"/>
    <mergeCell ref="B73:C73"/>
    <mergeCell ref="B74:C74"/>
    <mergeCell ref="B100:C100"/>
    <mergeCell ref="B101:C101"/>
    <mergeCell ref="B2:Q2"/>
    <mergeCell ref="B3:Q3"/>
    <mergeCell ref="B29:Q29"/>
    <mergeCell ref="B30:Q30"/>
    <mergeCell ref="B49:Q49"/>
    <mergeCell ref="B25:C25"/>
    <mergeCell ref="B26:C26"/>
    <mergeCell ref="B45:C45"/>
    <mergeCell ref="B46:C46"/>
  </mergeCells>
  <conditionalFormatting sqref="A1:XFD1048576">
    <cfRule type="containsText" dxfId="1" priority="1" operator="containsText" text="true">
      <formula>NOT(ISERROR(SEARCH("true",A1)))</formula>
    </cfRule>
  </conditionalFormatting>
  <printOptions horizontalCentered="1" verticalCentered="1"/>
  <pageMargins left="0" right="0" top="0" bottom="0" header="0" footer="0"/>
  <pageSetup paperSize="9" scale="29" orientation="landscape" horizontalDpi="300" verticalDpi="300" r:id="rId1"/>
  <headerFooter alignWithMargins="0">
    <oddFooter>&amp;C&amp;D</oddFooter>
  </headerFooter>
  <rowBreaks count="3" manualBreakCount="3">
    <brk id="27" max="42" man="1"/>
    <brk id="47" max="42" man="1"/>
    <brk id="75" max="42" man="1"/>
  </rowBreaks>
  <colBreaks count="1" manualBreakCount="1">
    <brk id="39" max="123"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B183"/>
  <sheetViews>
    <sheetView showGridLines="0" rightToLeft="1" zoomScaleNormal="100" zoomScaleSheetLayoutView="70" workbookViewId="0"/>
  </sheetViews>
  <sheetFormatPr defaultColWidth="9.28515625" defaultRowHeight="25.15" customHeight="1"/>
  <cols>
    <col min="1" max="1" width="15.7109375" style="2" customWidth="1"/>
    <col min="2" max="2" width="26.28515625" style="2" customWidth="1"/>
    <col min="3" max="16" width="8.28515625" style="22" bestFit="1" customWidth="1"/>
    <col min="17" max="17" width="26.28515625" style="35" customWidth="1"/>
    <col min="18" max="16384" width="9.28515625" style="2"/>
  </cols>
  <sheetData>
    <row r="1" spans="2:28" ht="50.1" customHeight="1"/>
    <row r="2" spans="2:28" ht="25.15" customHeight="1">
      <c r="B2" s="551" t="s">
        <v>458</v>
      </c>
      <c r="C2" s="551"/>
      <c r="D2" s="551"/>
      <c r="E2" s="551"/>
      <c r="F2" s="551"/>
      <c r="G2" s="551"/>
      <c r="H2" s="551"/>
      <c r="I2" s="551"/>
      <c r="J2" s="551"/>
      <c r="K2" s="551"/>
      <c r="L2" s="551"/>
      <c r="M2" s="551"/>
      <c r="N2" s="551"/>
      <c r="O2" s="551"/>
      <c r="P2" s="551"/>
      <c r="Q2" s="551"/>
    </row>
    <row r="3" spans="2:28" ht="25.15" customHeight="1">
      <c r="B3" s="552" t="s">
        <v>441</v>
      </c>
      <c r="C3" s="552"/>
      <c r="D3" s="552"/>
      <c r="E3" s="552"/>
      <c r="F3" s="552"/>
      <c r="G3" s="552"/>
      <c r="H3" s="552"/>
      <c r="I3" s="552"/>
      <c r="J3" s="552"/>
      <c r="K3" s="552"/>
      <c r="L3" s="552"/>
      <c r="M3" s="552"/>
      <c r="N3" s="552"/>
      <c r="O3" s="552"/>
      <c r="P3" s="552"/>
      <c r="Q3" s="552"/>
    </row>
    <row r="4" spans="2:28" ht="25.15" customHeight="1">
      <c r="B4" s="124"/>
      <c r="C4" s="124"/>
      <c r="D4" s="124"/>
      <c r="E4" s="124"/>
      <c r="F4" s="124"/>
      <c r="G4" s="124"/>
      <c r="H4" s="124"/>
      <c r="I4" s="124"/>
      <c r="J4" s="124"/>
      <c r="K4" s="124"/>
      <c r="L4" s="124"/>
      <c r="M4" s="124"/>
      <c r="N4" s="124"/>
      <c r="O4" s="124"/>
      <c r="P4" s="124"/>
      <c r="Q4" s="312" t="s">
        <v>412</v>
      </c>
    </row>
    <row r="5" spans="2:28" ht="25.15" customHeight="1">
      <c r="B5" s="89" t="s">
        <v>8</v>
      </c>
      <c r="C5" s="106">
        <v>2010</v>
      </c>
      <c r="D5" s="50">
        <v>2011</v>
      </c>
      <c r="E5" s="50">
        <v>2012</v>
      </c>
      <c r="F5" s="50">
        <v>2013</v>
      </c>
      <c r="G5" s="50">
        <v>2014</v>
      </c>
      <c r="H5" s="50">
        <v>2015</v>
      </c>
      <c r="I5" s="50">
        <v>2016</v>
      </c>
      <c r="J5" s="50">
        <v>2017</v>
      </c>
      <c r="K5" s="3">
        <v>2018</v>
      </c>
      <c r="L5" s="50">
        <v>2019</v>
      </c>
      <c r="M5" s="158">
        <v>2020</v>
      </c>
      <c r="N5" s="158">
        <v>2021</v>
      </c>
      <c r="O5" s="158">
        <v>2022</v>
      </c>
      <c r="P5" s="158" t="s">
        <v>324</v>
      </c>
      <c r="Q5" s="113" t="s">
        <v>22</v>
      </c>
    </row>
    <row r="6" spans="2:28" ht="25.15" customHeight="1">
      <c r="B6" s="6" t="s">
        <v>6</v>
      </c>
      <c r="C6" s="413">
        <v>379865.39663546009</v>
      </c>
      <c r="D6" s="413">
        <v>359497.60337709996</v>
      </c>
      <c r="E6" s="413">
        <v>391322.63155875</v>
      </c>
      <c r="F6" s="413">
        <v>412072.47407773003</v>
      </c>
      <c r="G6" s="413">
        <v>380655.30532449996</v>
      </c>
      <c r="H6" s="413">
        <v>281260.91334390995</v>
      </c>
      <c r="I6" s="413">
        <v>403075.24338439002</v>
      </c>
      <c r="J6" s="413">
        <v>401163.97442711005</v>
      </c>
      <c r="K6" s="413">
        <v>477735.08913495002</v>
      </c>
      <c r="L6" s="413">
        <v>476471.58085361001</v>
      </c>
      <c r="M6" s="413">
        <v>367865.45467459498</v>
      </c>
      <c r="N6" s="413">
        <v>463869.34128579497</v>
      </c>
      <c r="O6" s="413">
        <v>611252.95043647697</v>
      </c>
      <c r="P6" s="413">
        <v>526231.56652899645</v>
      </c>
      <c r="Q6" s="63" t="s">
        <v>316</v>
      </c>
    </row>
    <row r="7" spans="2:28" ht="25.15" customHeight="1">
      <c r="B7" s="6" t="s">
        <v>7</v>
      </c>
      <c r="C7" s="413">
        <v>343705.77346167294</v>
      </c>
      <c r="D7" s="413">
        <v>323427.39898898284</v>
      </c>
      <c r="E7" s="413">
        <v>338638.39309921104</v>
      </c>
      <c r="F7" s="413">
        <v>373770.57953575999</v>
      </c>
      <c r="G7" s="413">
        <v>414611.23487560003</v>
      </c>
      <c r="H7" s="413">
        <v>370399.3137752341</v>
      </c>
      <c r="I7" s="413">
        <v>444453.69151889032</v>
      </c>
      <c r="J7" s="413">
        <v>403520.79013462865</v>
      </c>
      <c r="K7" s="413">
        <v>418616.45955302974</v>
      </c>
      <c r="L7" s="413">
        <v>436710.56359459896</v>
      </c>
      <c r="M7" s="413">
        <v>399544.46562196396</v>
      </c>
      <c r="N7" s="413">
        <v>402381.86850724061</v>
      </c>
      <c r="O7" s="413">
        <v>427107.03481506294</v>
      </c>
      <c r="P7" s="413">
        <v>440453.49234781944</v>
      </c>
      <c r="Q7" s="63" t="s">
        <v>317</v>
      </c>
    </row>
    <row r="8" spans="2:28" ht="24.75" customHeight="1" thickBot="1">
      <c r="B8" s="73" t="s">
        <v>113</v>
      </c>
      <c r="C8" s="414">
        <v>36159.623173787142</v>
      </c>
      <c r="D8" s="414">
        <v>36070.204388117127</v>
      </c>
      <c r="E8" s="414">
        <v>52684.238459538959</v>
      </c>
      <c r="F8" s="414">
        <v>38301.894541970047</v>
      </c>
      <c r="G8" s="414">
        <v>-33955.929551100067</v>
      </c>
      <c r="H8" s="414">
        <v>-89138.400431324146</v>
      </c>
      <c r="I8" s="414">
        <v>-41378.448134500301</v>
      </c>
      <c r="J8" s="414">
        <v>-2356.8157075186027</v>
      </c>
      <c r="K8" s="414">
        <v>59118.629581920279</v>
      </c>
      <c r="L8" s="414">
        <v>39761.017259011045</v>
      </c>
      <c r="M8" s="414">
        <v>-31679.010947368981</v>
      </c>
      <c r="N8" s="414">
        <v>61487.472778554366</v>
      </c>
      <c r="O8" s="414">
        <v>184145.91562141402</v>
      </c>
      <c r="P8" s="414">
        <v>85778.074181177013</v>
      </c>
      <c r="Q8" s="74" t="s">
        <v>318</v>
      </c>
      <c r="R8" s="131"/>
      <c r="S8" s="131"/>
      <c r="T8" s="131"/>
      <c r="U8" s="131"/>
      <c r="V8" s="131"/>
      <c r="W8" s="131"/>
      <c r="X8" s="131"/>
      <c r="Y8" s="131"/>
      <c r="Z8" s="131"/>
      <c r="AA8" s="131"/>
      <c r="AB8" s="131"/>
    </row>
    <row r="9" spans="2:28" ht="24.95" customHeight="1">
      <c r="B9" s="412" t="s">
        <v>331</v>
      </c>
      <c r="C9" s="148"/>
      <c r="D9" s="148"/>
      <c r="E9" s="148"/>
      <c r="F9" s="148"/>
      <c r="G9" s="148"/>
      <c r="H9" s="148"/>
      <c r="I9" s="148"/>
      <c r="J9" s="148"/>
      <c r="K9" s="148"/>
      <c r="L9" s="148"/>
      <c r="M9" s="148"/>
      <c r="N9" s="148"/>
      <c r="O9" s="148"/>
      <c r="P9" s="148"/>
      <c r="Q9" s="64" t="s">
        <v>332</v>
      </c>
    </row>
    <row r="10" spans="2:28" s="1" customFormat="1" ht="24.95" customHeight="1">
      <c r="B10" s="76" t="s">
        <v>308</v>
      </c>
      <c r="C10" s="149"/>
      <c r="D10" s="149"/>
      <c r="E10" s="149"/>
      <c r="F10" s="149"/>
      <c r="G10" s="149"/>
      <c r="H10" s="149"/>
      <c r="I10" s="149"/>
      <c r="J10" s="149"/>
      <c r="K10" s="149"/>
      <c r="L10" s="149"/>
      <c r="M10" s="149"/>
      <c r="N10" s="149"/>
      <c r="O10" s="149"/>
      <c r="P10" s="149"/>
      <c r="Q10" s="81" t="s">
        <v>309</v>
      </c>
    </row>
    <row r="11" spans="2:28" ht="24.95" customHeight="1"/>
    <row r="12" spans="2:28" ht="25.15" customHeight="1">
      <c r="B12" s="551" t="s">
        <v>457</v>
      </c>
      <c r="C12" s="551"/>
      <c r="D12" s="551"/>
      <c r="E12" s="551"/>
      <c r="F12" s="551"/>
      <c r="G12" s="551"/>
      <c r="H12" s="551"/>
      <c r="I12" s="551"/>
      <c r="J12" s="551"/>
      <c r="K12" s="551"/>
      <c r="L12" s="551"/>
      <c r="M12" s="551"/>
      <c r="N12" s="551"/>
      <c r="O12" s="551"/>
      <c r="P12" s="551"/>
      <c r="Q12" s="551"/>
    </row>
    <row r="13" spans="2:28" ht="25.15" customHeight="1">
      <c r="B13" s="552" t="s">
        <v>442</v>
      </c>
      <c r="C13" s="552"/>
      <c r="D13" s="552"/>
      <c r="E13" s="552"/>
      <c r="F13" s="552"/>
      <c r="G13" s="552"/>
      <c r="H13" s="552"/>
      <c r="I13" s="552"/>
      <c r="J13" s="552"/>
      <c r="K13" s="552"/>
      <c r="L13" s="552"/>
      <c r="M13" s="552"/>
      <c r="N13" s="552"/>
      <c r="O13" s="552"/>
      <c r="P13" s="552"/>
      <c r="Q13" s="552"/>
    </row>
    <row r="14" spans="2:28" ht="25.15" customHeight="1">
      <c r="B14" s="124"/>
      <c r="C14" s="124"/>
      <c r="D14" s="124"/>
      <c r="E14" s="124"/>
      <c r="F14" s="124"/>
      <c r="G14" s="124"/>
      <c r="H14" s="124"/>
      <c r="I14" s="124"/>
      <c r="J14" s="124"/>
      <c r="K14" s="124"/>
      <c r="L14" s="124"/>
      <c r="M14" s="124"/>
      <c r="N14" s="124"/>
      <c r="O14" s="124"/>
      <c r="P14" s="124"/>
      <c r="Q14" s="312" t="s">
        <v>412</v>
      </c>
    </row>
    <row r="15" spans="2:28" ht="25.15" customHeight="1">
      <c r="B15" s="89" t="s">
        <v>8</v>
      </c>
      <c r="C15" s="106">
        <v>2010</v>
      </c>
      <c r="D15" s="50">
        <v>2011</v>
      </c>
      <c r="E15" s="50">
        <v>2012</v>
      </c>
      <c r="F15" s="50">
        <v>2013</v>
      </c>
      <c r="G15" s="50">
        <v>2014</v>
      </c>
      <c r="H15" s="50">
        <v>2015</v>
      </c>
      <c r="I15" s="50">
        <v>2016</v>
      </c>
      <c r="J15" s="50">
        <v>2017</v>
      </c>
      <c r="K15" s="3">
        <v>2018</v>
      </c>
      <c r="L15" s="50">
        <v>2019</v>
      </c>
      <c r="M15" s="158">
        <v>2020</v>
      </c>
      <c r="N15" s="158">
        <v>2021</v>
      </c>
      <c r="O15" s="158">
        <v>2022</v>
      </c>
      <c r="P15" s="158" t="s">
        <v>324</v>
      </c>
      <c r="Q15" s="106" t="s">
        <v>22</v>
      </c>
    </row>
    <row r="16" spans="2:28" ht="25.15" customHeight="1">
      <c r="B16" s="112" t="s">
        <v>213</v>
      </c>
      <c r="C16" s="243">
        <v>282158.8273633701</v>
      </c>
      <c r="D16" s="244">
        <v>278716.81041928998</v>
      </c>
      <c r="E16" s="244">
        <v>308670.17864167999</v>
      </c>
      <c r="F16" s="244">
        <v>314876.03244356002</v>
      </c>
      <c r="G16" s="244">
        <v>275622.27075509995</v>
      </c>
      <c r="H16" s="245">
        <v>160031.46167882998</v>
      </c>
      <c r="I16" s="245">
        <v>108587.84455561001</v>
      </c>
      <c r="J16" s="246">
        <v>162252.90804715001</v>
      </c>
      <c r="K16" s="167">
        <v>213034.12800346999</v>
      </c>
      <c r="L16" s="167">
        <v>228539.98411915</v>
      </c>
      <c r="M16" s="167">
        <v>151184.49585686999</v>
      </c>
      <c r="N16" s="167">
        <v>198566.34708586999</v>
      </c>
      <c r="O16" s="167">
        <v>325235.38036073296</v>
      </c>
      <c r="P16" s="167">
        <v>314819.50879484002</v>
      </c>
      <c r="Q16" s="416" t="s">
        <v>209</v>
      </c>
      <c r="R16" s="63"/>
      <c r="S16" s="63"/>
      <c r="T16" s="63"/>
      <c r="U16" s="63"/>
      <c r="V16" s="63"/>
      <c r="W16" s="63"/>
      <c r="X16" s="63"/>
      <c r="Y16" s="63"/>
      <c r="Z16" s="63"/>
      <c r="AA16" s="63"/>
    </row>
    <row r="17" spans="2:27" ht="25.15" customHeight="1">
      <c r="B17" s="415" t="s">
        <v>214</v>
      </c>
      <c r="C17" s="243">
        <v>4325.4795113200007</v>
      </c>
      <c r="D17" s="96">
        <v>4325.4735113199995</v>
      </c>
      <c r="E17" s="96">
        <v>4468.1462511099999</v>
      </c>
      <c r="F17" s="96">
        <v>5103.8608919999997</v>
      </c>
      <c r="G17" s="96">
        <v>5296.6996397200001</v>
      </c>
      <c r="H17" s="97">
        <v>4297.0390566300002</v>
      </c>
      <c r="I17" s="97">
        <v>4730.4147806700003</v>
      </c>
      <c r="J17" s="167">
        <v>4622.4518232399996</v>
      </c>
      <c r="K17" s="167">
        <v>4836.4159796899994</v>
      </c>
      <c r="L17" s="167">
        <v>4583.7748939799994</v>
      </c>
      <c r="M17" s="167">
        <v>12907.82583919</v>
      </c>
      <c r="N17" s="167">
        <v>13545.751975860001</v>
      </c>
      <c r="O17" s="167">
        <v>37969.551843089997</v>
      </c>
      <c r="P17" s="167">
        <v>16018.786140199998</v>
      </c>
      <c r="Q17" s="416" t="s">
        <v>210</v>
      </c>
    </row>
    <row r="18" spans="2:27" ht="25.15" customHeight="1">
      <c r="B18" s="6" t="s">
        <v>215</v>
      </c>
      <c r="C18" s="243">
        <v>20247.713557039999</v>
      </c>
      <c r="D18" s="96">
        <v>0</v>
      </c>
      <c r="E18" s="96">
        <v>0</v>
      </c>
      <c r="F18" s="96">
        <v>0</v>
      </c>
      <c r="G18" s="96">
        <v>0</v>
      </c>
      <c r="H18" s="97">
        <v>0</v>
      </c>
      <c r="I18" s="97">
        <v>4.1569999666535302E-5</v>
      </c>
      <c r="J18" s="167">
        <v>0</v>
      </c>
      <c r="K18" s="167">
        <v>0</v>
      </c>
      <c r="L18" s="167">
        <v>0</v>
      </c>
      <c r="M18" s="167">
        <v>0</v>
      </c>
      <c r="N18" s="167">
        <v>-1.1823431123048099E-11</v>
      </c>
      <c r="O18" s="167">
        <v>0</v>
      </c>
      <c r="P18" s="167">
        <v>3.1832314562052488E-12</v>
      </c>
      <c r="Q18" s="416" t="s">
        <v>211</v>
      </c>
    </row>
    <row r="19" spans="2:27" ht="25.15" customHeight="1">
      <c r="B19" s="6" t="s">
        <v>5</v>
      </c>
      <c r="C19" s="243">
        <v>73133.376203730004</v>
      </c>
      <c r="D19" s="96">
        <v>76455.319446490001</v>
      </c>
      <c r="E19" s="96">
        <v>78184.306665960001</v>
      </c>
      <c r="F19" s="96">
        <v>92092.580742170001</v>
      </c>
      <c r="G19" s="96">
        <v>99736.334929679986</v>
      </c>
      <c r="H19" s="97">
        <v>116932.41260845</v>
      </c>
      <c r="I19" s="97">
        <v>289756.98400653998</v>
      </c>
      <c r="J19" s="167">
        <v>234288.61455672001</v>
      </c>
      <c r="K19" s="167">
        <v>259864.54515179002</v>
      </c>
      <c r="L19" s="167">
        <v>243347.82184048</v>
      </c>
      <c r="M19" s="167">
        <v>203773.132978535</v>
      </c>
      <c r="N19" s="167">
        <v>251757.242224065</v>
      </c>
      <c r="O19" s="167">
        <v>248048.01823265399</v>
      </c>
      <c r="P19" s="167">
        <v>195393.27159395651</v>
      </c>
      <c r="Q19" s="416" t="s">
        <v>212</v>
      </c>
      <c r="R19" s="63"/>
      <c r="S19" s="63"/>
      <c r="T19" s="63"/>
      <c r="U19" s="63"/>
      <c r="V19" s="63"/>
      <c r="W19" s="63"/>
      <c r="X19" s="63"/>
      <c r="Y19" s="63"/>
      <c r="Z19" s="63"/>
      <c r="AA19" s="63"/>
    </row>
    <row r="20" spans="2:27" ht="25.15" customHeight="1" thickBot="1">
      <c r="B20" s="73" t="s">
        <v>9</v>
      </c>
      <c r="C20" s="94">
        <v>379865.39663546009</v>
      </c>
      <c r="D20" s="94">
        <v>359497.60337709996</v>
      </c>
      <c r="E20" s="94">
        <v>391322.63155875</v>
      </c>
      <c r="F20" s="94">
        <v>412072.47407773003</v>
      </c>
      <c r="G20" s="94">
        <v>380655.30532449996</v>
      </c>
      <c r="H20" s="94">
        <v>281260.91334390995</v>
      </c>
      <c r="I20" s="94">
        <v>403075.24338439002</v>
      </c>
      <c r="J20" s="94">
        <v>401163.97442711005</v>
      </c>
      <c r="K20" s="94">
        <v>477735.08913495002</v>
      </c>
      <c r="L20" s="94">
        <v>476471.58085361001</v>
      </c>
      <c r="M20" s="94">
        <v>367865.45467459498</v>
      </c>
      <c r="N20" s="94">
        <v>463869.34128579497</v>
      </c>
      <c r="O20" s="94">
        <v>611252.95043647697</v>
      </c>
      <c r="P20" s="94">
        <v>526231.56652899645</v>
      </c>
      <c r="Q20" s="111" t="s">
        <v>10</v>
      </c>
      <c r="R20" s="131"/>
      <c r="S20" s="131"/>
      <c r="T20" s="131" t="s">
        <v>300</v>
      </c>
      <c r="U20" s="131"/>
      <c r="V20" s="131"/>
      <c r="W20" s="131"/>
      <c r="X20" s="131"/>
      <c r="Y20" s="131"/>
      <c r="Z20" s="131"/>
      <c r="AA20" s="131"/>
    </row>
    <row r="21" spans="2:27" ht="24.95" customHeight="1">
      <c r="B21" s="412" t="s">
        <v>331</v>
      </c>
      <c r="C21" s="10"/>
      <c r="D21" s="10"/>
      <c r="E21" s="10"/>
      <c r="F21" s="10"/>
      <c r="G21" s="10"/>
      <c r="H21" s="10"/>
      <c r="I21" s="10"/>
      <c r="J21" s="10"/>
      <c r="K21" s="10"/>
      <c r="L21" s="10"/>
      <c r="M21" s="10"/>
      <c r="N21" s="10"/>
      <c r="O21" s="10"/>
      <c r="P21" s="10"/>
      <c r="Q21" s="64" t="s">
        <v>332</v>
      </c>
    </row>
    <row r="22" spans="2:27" s="1" customFormat="1" ht="24.95" customHeight="1">
      <c r="B22" s="76" t="s">
        <v>308</v>
      </c>
      <c r="C22" s="149"/>
      <c r="D22" s="150"/>
      <c r="E22" s="150"/>
      <c r="F22" s="151"/>
      <c r="G22" s="152"/>
      <c r="H22" s="153"/>
      <c r="I22" s="45"/>
      <c r="J22" s="153"/>
      <c r="K22" s="153"/>
      <c r="L22" s="153"/>
      <c r="M22" s="153"/>
      <c r="N22" s="153"/>
      <c r="O22" s="153"/>
      <c r="P22" s="153"/>
      <c r="Q22" s="81" t="s">
        <v>309</v>
      </c>
    </row>
    <row r="23" spans="2:27" ht="24.95" customHeight="1">
      <c r="B23" s="34"/>
      <c r="C23" s="324"/>
      <c r="D23" s="8"/>
      <c r="E23" s="8"/>
      <c r="F23" s="8"/>
      <c r="G23" s="8"/>
      <c r="H23" s="8"/>
      <c r="I23" s="8"/>
      <c r="J23" s="8"/>
      <c r="K23" s="8"/>
      <c r="L23" s="8"/>
      <c r="M23" s="8"/>
      <c r="N23" s="8"/>
      <c r="O23" s="8"/>
      <c r="P23" s="8"/>
      <c r="Q23" s="53"/>
    </row>
    <row r="24" spans="2:27" ht="25.15" customHeight="1">
      <c r="B24" s="551" t="s">
        <v>456</v>
      </c>
      <c r="C24" s="551"/>
      <c r="D24" s="551"/>
      <c r="E24" s="551"/>
      <c r="F24" s="551"/>
      <c r="G24" s="551"/>
      <c r="H24" s="551"/>
      <c r="I24" s="551"/>
      <c r="J24" s="551"/>
      <c r="K24" s="551"/>
      <c r="L24" s="551"/>
      <c r="M24" s="551"/>
      <c r="N24" s="551"/>
      <c r="O24" s="551"/>
      <c r="P24" s="551"/>
      <c r="Q24" s="551"/>
    </row>
    <row r="25" spans="2:27" ht="25.15" customHeight="1">
      <c r="B25" s="553" t="s">
        <v>443</v>
      </c>
      <c r="C25" s="553"/>
      <c r="D25" s="553"/>
      <c r="E25" s="553"/>
      <c r="F25" s="553"/>
      <c r="G25" s="553"/>
      <c r="H25" s="553"/>
      <c r="I25" s="553"/>
      <c r="J25" s="553"/>
      <c r="K25" s="553"/>
      <c r="L25" s="553"/>
      <c r="M25" s="553"/>
      <c r="N25" s="553"/>
      <c r="O25" s="553"/>
      <c r="P25" s="553"/>
      <c r="Q25" s="553"/>
    </row>
    <row r="26" spans="2:27" ht="25.15" customHeight="1">
      <c r="B26" s="125"/>
      <c r="C26" s="125"/>
      <c r="D26" s="125"/>
      <c r="E26" s="125"/>
      <c r="F26" s="125"/>
      <c r="G26" s="125"/>
      <c r="H26" s="125"/>
      <c r="I26" s="125"/>
      <c r="J26" s="125"/>
      <c r="K26" s="125"/>
      <c r="L26" s="125"/>
      <c r="M26" s="125"/>
      <c r="N26" s="125"/>
      <c r="O26" s="125"/>
      <c r="P26" s="125"/>
      <c r="Q26" s="312" t="s">
        <v>412</v>
      </c>
    </row>
    <row r="27" spans="2:27" ht="25.15" customHeight="1">
      <c r="B27" s="89" t="s">
        <v>12</v>
      </c>
      <c r="C27" s="106">
        <v>2010</v>
      </c>
      <c r="D27" s="50">
        <v>2011</v>
      </c>
      <c r="E27" s="50">
        <v>2012</v>
      </c>
      <c r="F27" s="50">
        <v>2013</v>
      </c>
      <c r="G27" s="50">
        <v>2014</v>
      </c>
      <c r="H27" s="50">
        <v>2015</v>
      </c>
      <c r="I27" s="50">
        <v>2016</v>
      </c>
      <c r="J27" s="50">
        <v>2017</v>
      </c>
      <c r="K27" s="3">
        <v>2018</v>
      </c>
      <c r="L27" s="50">
        <v>2019</v>
      </c>
      <c r="M27" s="158">
        <v>2020</v>
      </c>
      <c r="N27" s="158">
        <v>2021</v>
      </c>
      <c r="O27" s="158">
        <v>2022</v>
      </c>
      <c r="P27" s="158" t="s">
        <v>324</v>
      </c>
      <c r="Q27" s="103" t="s">
        <v>22</v>
      </c>
    </row>
    <row r="28" spans="2:27" ht="25.15" customHeight="1">
      <c r="B28" s="112" t="s">
        <v>231</v>
      </c>
      <c r="C28" s="154">
        <v>298069.279732303</v>
      </c>
      <c r="D28" s="154">
        <v>277701.07478291285</v>
      </c>
      <c r="E28" s="154">
        <v>294339.07227727101</v>
      </c>
      <c r="F28" s="154">
        <v>340265.48850376002</v>
      </c>
      <c r="G28" s="154">
        <v>374725.21315691003</v>
      </c>
      <c r="H28" s="154">
        <v>335333.56414148409</v>
      </c>
      <c r="I28" s="154">
        <v>393108.90190815029</v>
      </c>
      <c r="J28" s="154">
        <v>358471.12507564866</v>
      </c>
      <c r="K28" s="154">
        <v>388209.27516204992</v>
      </c>
      <c r="L28" s="154">
        <v>383041.10315926897</v>
      </c>
      <c r="M28" s="154">
        <v>353023.03089360858</v>
      </c>
      <c r="N28" s="154">
        <v>382394.91728902323</v>
      </c>
      <c r="O28" s="154">
        <v>388234.30553290877</v>
      </c>
      <c r="P28" s="154">
        <v>405815.43372106965</v>
      </c>
      <c r="Q28" s="110" t="s">
        <v>230</v>
      </c>
    </row>
    <row r="29" spans="2:27" ht="25.15" customHeight="1">
      <c r="B29" s="242" t="s">
        <v>3</v>
      </c>
      <c r="C29" s="243">
        <v>35286.201779849995</v>
      </c>
      <c r="D29" s="244">
        <v>35220.13060189</v>
      </c>
      <c r="E29" s="244">
        <v>39065.857769941002</v>
      </c>
      <c r="F29" s="244">
        <v>42126.848517999999</v>
      </c>
      <c r="G29" s="244">
        <v>47519.117467489996</v>
      </c>
      <c r="H29" s="245">
        <v>63009.536437989998</v>
      </c>
      <c r="I29" s="245">
        <v>65224.824250639998</v>
      </c>
      <c r="J29" s="245">
        <v>76069.26438344999</v>
      </c>
      <c r="K29" s="245">
        <v>83235.223506030001</v>
      </c>
      <c r="L29" s="245">
        <v>107722.10423626</v>
      </c>
      <c r="M29" s="245">
        <v>109995.30504119401</v>
      </c>
      <c r="N29" s="245">
        <v>113513.54853314599</v>
      </c>
      <c r="O29" s="245">
        <v>118704.876637108</v>
      </c>
      <c r="P29" s="245">
        <v>118415.00574080781</v>
      </c>
      <c r="Q29" s="247" t="s">
        <v>222</v>
      </c>
      <c r="R29" s="63"/>
      <c r="S29" s="63"/>
      <c r="T29" s="63"/>
      <c r="U29" s="63"/>
      <c r="V29" s="63"/>
      <c r="W29" s="63"/>
      <c r="X29" s="63"/>
      <c r="Y29" s="63"/>
      <c r="Z29" s="63"/>
      <c r="AA29" s="63"/>
    </row>
    <row r="30" spans="2:27" ht="25.15" customHeight="1">
      <c r="B30" s="166" t="s">
        <v>216</v>
      </c>
      <c r="C30" s="243">
        <v>44759.863979492991</v>
      </c>
      <c r="D30" s="96">
        <v>44723.816449422993</v>
      </c>
      <c r="E30" s="96">
        <v>40435.268454999998</v>
      </c>
      <c r="F30" s="96">
        <v>43182.799709999999</v>
      </c>
      <c r="G30" s="96">
        <v>49505.49680026</v>
      </c>
      <c r="H30" s="97">
        <v>59800.484650664104</v>
      </c>
      <c r="I30" s="97">
        <v>62271.937816870297</v>
      </c>
      <c r="J30" s="97">
        <v>90929.794620668705</v>
      </c>
      <c r="K30" s="97">
        <v>86608.153790779994</v>
      </c>
      <c r="L30" s="97">
        <v>119427.57114159899</v>
      </c>
      <c r="M30" s="97">
        <v>105209.5369028</v>
      </c>
      <c r="N30" s="97">
        <v>125541.625788662</v>
      </c>
      <c r="O30" s="97">
        <v>136526.460545026</v>
      </c>
      <c r="P30" s="97">
        <v>119925.04266754824</v>
      </c>
      <c r="Q30" s="165" t="s">
        <v>223</v>
      </c>
    </row>
    <row r="31" spans="2:27" ht="25.15" customHeight="1">
      <c r="B31" s="90" t="s">
        <v>217</v>
      </c>
      <c r="C31" s="243">
        <v>3942.6207716500003</v>
      </c>
      <c r="D31" s="96">
        <v>3894.8512928300001</v>
      </c>
      <c r="E31" s="96">
        <v>3474.7603793400003</v>
      </c>
      <c r="F31" s="96">
        <v>3321.0265307600002</v>
      </c>
      <c r="G31" s="96">
        <v>3766.1366449899997</v>
      </c>
      <c r="H31" s="97">
        <v>4591.3219095000004</v>
      </c>
      <c r="I31" s="97">
        <v>5940.2274399899998</v>
      </c>
      <c r="J31" s="97">
        <v>5026.5527055699995</v>
      </c>
      <c r="K31" s="97">
        <v>4644.5590437600003</v>
      </c>
      <c r="L31" s="97">
        <v>5305.3516064099995</v>
      </c>
      <c r="M31" s="97">
        <v>6498.1528114945804</v>
      </c>
      <c r="N31" s="97">
        <v>9210.9613072921693</v>
      </c>
      <c r="O31" s="97">
        <v>9583.4516875695299</v>
      </c>
      <c r="P31" s="97">
        <v>10749.816370281635</v>
      </c>
      <c r="Q31" s="165" t="s">
        <v>224</v>
      </c>
    </row>
    <row r="32" spans="2:27" ht="25.15" customHeight="1">
      <c r="B32" s="90" t="s">
        <v>218</v>
      </c>
      <c r="C32" s="243">
        <v>2366.3967314300003</v>
      </c>
      <c r="D32" s="96">
        <v>2366.3721240999998</v>
      </c>
      <c r="E32" s="96">
        <v>4319.7555139899996</v>
      </c>
      <c r="F32" s="96">
        <v>5908.5249199999998</v>
      </c>
      <c r="G32" s="96">
        <v>4074.7248309000001</v>
      </c>
      <c r="H32" s="97">
        <v>2790.5466275600002</v>
      </c>
      <c r="I32" s="97">
        <v>1989.19754205</v>
      </c>
      <c r="J32" s="97">
        <v>1925.6717473900001</v>
      </c>
      <c r="K32" s="97">
        <v>3663.2997457399997</v>
      </c>
      <c r="L32" s="97">
        <v>4533.2115990299999</v>
      </c>
      <c r="M32" s="97">
        <v>3827.4263831500002</v>
      </c>
      <c r="N32" s="97">
        <v>4595.4672446699997</v>
      </c>
      <c r="O32" s="97">
        <v>9509.0939255699996</v>
      </c>
      <c r="P32" s="97">
        <v>12004.961422800001</v>
      </c>
      <c r="Q32" s="165" t="s">
        <v>225</v>
      </c>
    </row>
    <row r="33" spans="2:27" ht="25.15" customHeight="1">
      <c r="B33" s="90" t="s">
        <v>219</v>
      </c>
      <c r="C33" s="243">
        <v>7309.2457070499995</v>
      </c>
      <c r="D33" s="96">
        <v>7309.2457070500004</v>
      </c>
      <c r="E33" s="96">
        <v>8383.9474484700004</v>
      </c>
      <c r="F33" s="96">
        <v>10065.544986999999</v>
      </c>
      <c r="G33" s="96">
        <v>12079.415342940001</v>
      </c>
      <c r="H33" s="97">
        <v>12286.002037940001</v>
      </c>
      <c r="I33" s="97">
        <v>8791.2614928200001</v>
      </c>
      <c r="J33" s="97">
        <v>21849.625575650003</v>
      </c>
      <c r="K33" s="97">
        <v>32930.904936489998</v>
      </c>
      <c r="L33" s="97">
        <v>26922.378637240003</v>
      </c>
      <c r="M33" s="97">
        <v>36404.404365180002</v>
      </c>
      <c r="N33" s="97">
        <v>35292.738025769999</v>
      </c>
      <c r="O33" s="97">
        <v>24155.37214132</v>
      </c>
      <c r="P33" s="97">
        <v>37229.329800630003</v>
      </c>
      <c r="Q33" s="165" t="s">
        <v>226</v>
      </c>
    </row>
    <row r="34" spans="2:27" ht="25.15" customHeight="1">
      <c r="B34" s="90" t="s">
        <v>215</v>
      </c>
      <c r="C34" s="243">
        <v>162516.69882486001</v>
      </c>
      <c r="D34" s="96">
        <v>6530.0670571998999</v>
      </c>
      <c r="E34" s="96">
        <v>2603.3165441599999</v>
      </c>
      <c r="F34" s="96">
        <v>21630.367039000001</v>
      </c>
      <c r="G34" s="96">
        <v>21943.585148229999</v>
      </c>
      <c r="H34" s="97">
        <v>8771.1564785900009</v>
      </c>
      <c r="I34" s="97">
        <v>17594.85181</v>
      </c>
      <c r="J34" s="97">
        <v>9858.7482354099993</v>
      </c>
      <c r="K34" s="97">
        <v>13302.565880190001</v>
      </c>
      <c r="L34" s="97">
        <v>16290.886715879999</v>
      </c>
      <c r="M34" s="97">
        <v>3975.7182561</v>
      </c>
      <c r="N34" s="97">
        <v>1797.2016937230999</v>
      </c>
      <c r="O34" s="97">
        <v>1536.40342919</v>
      </c>
      <c r="P34" s="97">
        <v>1233.67841234</v>
      </c>
      <c r="Q34" s="165" t="s">
        <v>211</v>
      </c>
    </row>
    <row r="35" spans="2:27" ht="25.15" customHeight="1">
      <c r="B35" s="90" t="s">
        <v>220</v>
      </c>
      <c r="C35" s="243">
        <v>31771.296540589996</v>
      </c>
      <c r="D35" s="96">
        <v>30468.757367210001</v>
      </c>
      <c r="E35" s="96">
        <v>48777.214210370003</v>
      </c>
      <c r="F35" s="96">
        <v>52449.376798999998</v>
      </c>
      <c r="G35" s="96">
        <v>61441.64991842</v>
      </c>
      <c r="H35" s="97">
        <v>42594.579603710001</v>
      </c>
      <c r="I35" s="95">
        <v>35263.391180669998</v>
      </c>
      <c r="J35" s="95">
        <v>41224.941199820001</v>
      </c>
      <c r="K35" s="95">
        <v>65760.00333752</v>
      </c>
      <c r="L35" s="95">
        <v>74630.640517060005</v>
      </c>
      <c r="M35" s="95">
        <v>64932.929928370002</v>
      </c>
      <c r="N35" s="95">
        <v>60891.942147469999</v>
      </c>
      <c r="O35" s="95">
        <v>58979.390358129996</v>
      </c>
      <c r="P35" s="95">
        <v>67935.788569860015</v>
      </c>
      <c r="Q35" s="165" t="s">
        <v>227</v>
      </c>
      <c r="R35" s="63"/>
      <c r="S35" s="63"/>
      <c r="T35" s="63"/>
      <c r="U35" s="63"/>
      <c r="V35" s="63"/>
      <c r="W35" s="63"/>
      <c r="X35" s="63"/>
      <c r="Y35" s="63"/>
      <c r="Z35" s="63"/>
      <c r="AA35" s="63"/>
    </row>
    <row r="36" spans="2:27" ht="25.15" customHeight="1">
      <c r="B36" s="90" t="s">
        <v>221</v>
      </c>
      <c r="C36" s="243">
        <v>10116.955397379998</v>
      </c>
      <c r="D36" s="96">
        <v>147187.83418320998</v>
      </c>
      <c r="E36" s="96">
        <v>147278.951956</v>
      </c>
      <c r="F36" s="96">
        <v>161581</v>
      </c>
      <c r="G36" s="96">
        <v>174395.08700368</v>
      </c>
      <c r="H36" s="97">
        <v>141489.93639553001</v>
      </c>
      <c r="I36" s="95">
        <v>196033.21037510998</v>
      </c>
      <c r="J36" s="95">
        <v>111586.52660769</v>
      </c>
      <c r="K36" s="95">
        <v>98064.56492153999</v>
      </c>
      <c r="L36" s="95">
        <v>28208.958705790003</v>
      </c>
      <c r="M36" s="95">
        <v>22179.557205320001</v>
      </c>
      <c r="N36" s="95">
        <v>31551.432548290002</v>
      </c>
      <c r="O36" s="95">
        <v>29239.2568089952</v>
      </c>
      <c r="P36" s="95">
        <v>38321.810736801992</v>
      </c>
      <c r="Q36" s="165" t="s">
        <v>228</v>
      </c>
    </row>
    <row r="37" spans="2:27" ht="25.15" customHeight="1">
      <c r="B37" s="6" t="s">
        <v>232</v>
      </c>
      <c r="C37" s="266">
        <v>45636.493729369977</v>
      </c>
      <c r="D37" s="155">
        <v>45726.324206069999</v>
      </c>
      <c r="E37" s="155">
        <v>44299.320821940004</v>
      </c>
      <c r="F37" s="155">
        <v>33505.091031999997</v>
      </c>
      <c r="G37" s="155">
        <v>39886.021718690004</v>
      </c>
      <c r="H37" s="155">
        <v>35065.749633749998</v>
      </c>
      <c r="I37" s="155">
        <v>51344.789610740001</v>
      </c>
      <c r="J37" s="155">
        <v>45049.665058980005</v>
      </c>
      <c r="K37" s="155">
        <v>30407.184390979801</v>
      </c>
      <c r="L37" s="155">
        <v>53669.460435330002</v>
      </c>
      <c r="M37" s="155">
        <v>46521.434728355402</v>
      </c>
      <c r="N37" s="155">
        <v>19986.9512182174</v>
      </c>
      <c r="O37" s="155">
        <v>38872.7292821542</v>
      </c>
      <c r="P37" s="169">
        <v>34638.058626749786</v>
      </c>
      <c r="Q37" s="63" t="s">
        <v>229</v>
      </c>
    </row>
    <row r="38" spans="2:27" ht="25.15" customHeight="1" thickBot="1">
      <c r="B38" s="72" t="s">
        <v>11</v>
      </c>
      <c r="C38" s="94">
        <v>343705.77346167294</v>
      </c>
      <c r="D38" s="94">
        <v>323427.39898898284</v>
      </c>
      <c r="E38" s="94">
        <v>338638.39309921104</v>
      </c>
      <c r="F38" s="94">
        <v>373770.57953575999</v>
      </c>
      <c r="G38" s="94">
        <v>414611.23487560003</v>
      </c>
      <c r="H38" s="94">
        <v>370399.3137752341</v>
      </c>
      <c r="I38" s="94">
        <v>444453.69151889032</v>
      </c>
      <c r="J38" s="94">
        <v>403520.79013462865</v>
      </c>
      <c r="K38" s="94">
        <v>418616.45955302974</v>
      </c>
      <c r="L38" s="94">
        <v>436710.56359459896</v>
      </c>
      <c r="M38" s="94">
        <v>399544.46562196396</v>
      </c>
      <c r="N38" s="94">
        <v>402381.86850724061</v>
      </c>
      <c r="O38" s="94">
        <v>427107.03481506294</v>
      </c>
      <c r="P38" s="94">
        <v>440453.49234781944</v>
      </c>
      <c r="Q38" s="74" t="s">
        <v>21</v>
      </c>
      <c r="R38" s="131"/>
      <c r="S38" s="131"/>
      <c r="T38" s="131"/>
      <c r="U38" s="131"/>
      <c r="V38" s="131"/>
      <c r="W38" s="131"/>
      <c r="X38" s="131"/>
      <c r="Y38" s="131"/>
      <c r="Z38" s="131"/>
      <c r="AA38" s="131"/>
    </row>
    <row r="39" spans="2:27" ht="24.95" customHeight="1">
      <c r="B39" s="412" t="s">
        <v>331</v>
      </c>
      <c r="C39" s="10"/>
      <c r="D39" s="10"/>
      <c r="E39" s="10"/>
      <c r="F39" s="10"/>
      <c r="G39" s="10"/>
      <c r="H39" s="10"/>
      <c r="I39" s="10"/>
      <c r="J39" s="10"/>
      <c r="K39" s="10"/>
      <c r="L39" s="10"/>
      <c r="M39" s="10"/>
      <c r="N39" s="10"/>
      <c r="O39" s="10"/>
      <c r="P39" s="10"/>
      <c r="Q39" s="64" t="s">
        <v>332</v>
      </c>
    </row>
    <row r="40" spans="2:27" s="1" customFormat="1" ht="24.95" customHeight="1">
      <c r="B40" s="76" t="s">
        <v>308</v>
      </c>
      <c r="C40" s="10"/>
      <c r="D40" s="10"/>
      <c r="E40" s="10"/>
      <c r="F40" s="10"/>
      <c r="G40" s="10"/>
      <c r="H40" s="10"/>
      <c r="I40" s="10"/>
      <c r="J40" s="10"/>
      <c r="K40" s="10"/>
      <c r="L40" s="10"/>
      <c r="M40" s="10"/>
      <c r="N40" s="10"/>
      <c r="O40" s="10"/>
      <c r="P40" s="10"/>
      <c r="Q40" s="81" t="s">
        <v>309</v>
      </c>
    </row>
    <row r="41" spans="2:27" ht="24.95" customHeight="1"/>
    <row r="42" spans="2:27" ht="24.95" customHeight="1"/>
    <row r="164" spans="2:2" ht="25.15" customHeight="1">
      <c r="B164" s="2" t="s">
        <v>152</v>
      </c>
    </row>
    <row r="183" spans="2:2" ht="25.15" customHeight="1">
      <c r="B183" s="2" t="s">
        <v>152</v>
      </c>
    </row>
  </sheetData>
  <mergeCells count="6">
    <mergeCell ref="B2:Q2"/>
    <mergeCell ref="B3:Q3"/>
    <mergeCell ref="B24:Q24"/>
    <mergeCell ref="B25:Q25"/>
    <mergeCell ref="B12:Q12"/>
    <mergeCell ref="B13:Q13"/>
  </mergeCells>
  <phoneticPr fontId="5" type="noConversion"/>
  <printOptions horizontalCentered="1" verticalCentered="1"/>
  <pageMargins left="0" right="0" top="0" bottom="0" header="0" footer="0"/>
  <pageSetup paperSize="8" scale="53" fitToHeight="0" orientation="landscape" verticalDpi="300" r:id="rId1"/>
  <headerFooter alignWithMargins="0"/>
  <rowBreaks count="2" manualBreakCount="2">
    <brk id="10" max="37" man="1"/>
    <brk id="22" max="37"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1249-42FC-4D91-8216-F77E11290494}">
  <dimension ref="B1:AB185"/>
  <sheetViews>
    <sheetView showGridLines="0" rightToLeft="1" zoomScaleNormal="100" zoomScaleSheetLayoutView="70" workbookViewId="0"/>
  </sheetViews>
  <sheetFormatPr defaultColWidth="9.28515625" defaultRowHeight="25.15" customHeight="1"/>
  <cols>
    <col min="1" max="1" width="15.7109375" style="2" customWidth="1"/>
    <col min="2" max="2" width="31.7109375" style="2" customWidth="1"/>
    <col min="3" max="16" width="9" style="22" customWidth="1"/>
    <col min="17" max="17" width="32.7109375" style="35" customWidth="1"/>
    <col min="18" max="16384" width="9.28515625" style="2"/>
  </cols>
  <sheetData>
    <row r="1" spans="2:28" ht="50.1" customHeight="1"/>
    <row r="2" spans="2:28" ht="25.15" customHeight="1">
      <c r="B2" s="551" t="s">
        <v>491</v>
      </c>
      <c r="C2" s="551"/>
      <c r="D2" s="551"/>
      <c r="E2" s="551"/>
      <c r="F2" s="551"/>
      <c r="G2" s="551"/>
      <c r="H2" s="551"/>
      <c r="I2" s="551"/>
      <c r="J2" s="551"/>
      <c r="K2" s="551"/>
      <c r="L2" s="551"/>
      <c r="M2" s="551"/>
      <c r="N2" s="551"/>
      <c r="O2" s="551"/>
      <c r="P2" s="551"/>
      <c r="Q2" s="551"/>
    </row>
    <row r="3" spans="2:28" ht="25.15" customHeight="1">
      <c r="B3" s="552" t="s">
        <v>444</v>
      </c>
      <c r="C3" s="552"/>
      <c r="D3" s="552"/>
      <c r="E3" s="552"/>
      <c r="F3" s="552"/>
      <c r="G3" s="552"/>
      <c r="H3" s="552"/>
      <c r="I3" s="552"/>
      <c r="J3" s="552"/>
      <c r="K3" s="552"/>
      <c r="L3" s="552"/>
      <c r="M3" s="552"/>
      <c r="N3" s="552"/>
      <c r="O3" s="552"/>
      <c r="P3" s="552"/>
      <c r="Q3" s="552"/>
    </row>
    <row r="4" spans="2:28" ht="25.15" customHeight="1">
      <c r="Q4" s="211" t="s">
        <v>388</v>
      </c>
    </row>
    <row r="5" spans="2:28" ht="25.15" customHeight="1">
      <c r="B5" s="89" t="s">
        <v>8</v>
      </c>
      <c r="C5" s="106">
        <v>2010</v>
      </c>
      <c r="D5" s="50">
        <v>2011</v>
      </c>
      <c r="E5" s="50">
        <v>2012</v>
      </c>
      <c r="F5" s="50">
        <v>2013</v>
      </c>
      <c r="G5" s="50">
        <v>2014</v>
      </c>
      <c r="H5" s="50">
        <v>2015</v>
      </c>
      <c r="I5" s="50">
        <v>2016</v>
      </c>
      <c r="J5" s="50">
        <v>2017</v>
      </c>
      <c r="K5" s="3">
        <v>2018</v>
      </c>
      <c r="L5" s="50">
        <v>2019</v>
      </c>
      <c r="M5" s="158">
        <v>2020</v>
      </c>
      <c r="N5" s="158">
        <v>2021</v>
      </c>
      <c r="O5" s="158">
        <v>2022</v>
      </c>
      <c r="P5" s="158" t="s">
        <v>324</v>
      </c>
      <c r="Q5" s="113" t="s">
        <v>22</v>
      </c>
    </row>
    <row r="6" spans="2:28" ht="25.15" customHeight="1">
      <c r="B6" s="6" t="s">
        <v>6</v>
      </c>
      <c r="C6" s="413">
        <v>103435.09779045885</v>
      </c>
      <c r="D6" s="413">
        <v>97889.068312348536</v>
      </c>
      <c r="E6" s="413">
        <v>106554.83500578624</v>
      </c>
      <c r="F6" s="413">
        <v>112204.89423491628</v>
      </c>
      <c r="G6" s="413">
        <v>103650.18524833219</v>
      </c>
      <c r="H6" s="413">
        <v>76585.680964985702</v>
      </c>
      <c r="I6" s="413">
        <v>109755.00160228455</v>
      </c>
      <c r="J6" s="413">
        <v>109234.57438450921</v>
      </c>
      <c r="K6" s="413">
        <v>130084.43543497619</v>
      </c>
      <c r="L6" s="413">
        <v>129740.38961296392</v>
      </c>
      <c r="M6" s="413">
        <v>100167.5846629258</v>
      </c>
      <c r="N6" s="413">
        <v>126308.87441410347</v>
      </c>
      <c r="O6" s="413">
        <v>166440.55832170919</v>
      </c>
      <c r="P6" s="413">
        <v>143289.7390140222</v>
      </c>
      <c r="Q6" s="63" t="s">
        <v>316</v>
      </c>
    </row>
    <row r="7" spans="2:28" ht="25.15" customHeight="1">
      <c r="B7" s="6" t="s">
        <v>7</v>
      </c>
      <c r="C7" s="413">
        <v>93589.046551851061</v>
      </c>
      <c r="D7" s="413">
        <v>88067.365279505204</v>
      </c>
      <c r="E7" s="413">
        <v>92209.228890186801</v>
      </c>
      <c r="F7" s="413">
        <v>101775.51519013206</v>
      </c>
      <c r="G7" s="413">
        <v>112896.18376462901</v>
      </c>
      <c r="H7" s="413">
        <v>100857.53948951236</v>
      </c>
      <c r="I7" s="413">
        <v>121022.1079697455</v>
      </c>
      <c r="J7" s="413">
        <v>109876.32134367016</v>
      </c>
      <c r="K7" s="413">
        <v>113986.78272376576</v>
      </c>
      <c r="L7" s="413">
        <v>118913.70009383227</v>
      </c>
      <c r="M7" s="413">
        <v>108793.5917282407</v>
      </c>
      <c r="N7" s="413">
        <v>109566.19972967751</v>
      </c>
      <c r="O7" s="413">
        <v>116298.71608306684</v>
      </c>
      <c r="P7" s="413">
        <v>119932.87742622721</v>
      </c>
      <c r="Q7" s="63" t="s">
        <v>317</v>
      </c>
    </row>
    <row r="8" spans="2:28" ht="24.75" customHeight="1" thickBot="1">
      <c r="B8" s="73" t="s">
        <v>113</v>
      </c>
      <c r="C8" s="414">
        <v>9846.0512386077899</v>
      </c>
      <c r="D8" s="414">
        <v>9821.703032843332</v>
      </c>
      <c r="E8" s="414">
        <v>14345.606115599439</v>
      </c>
      <c r="F8" s="414">
        <v>10429.379044784218</v>
      </c>
      <c r="G8" s="414">
        <v>-9245.9985162968223</v>
      </c>
      <c r="H8" s="414">
        <v>-24271.858524526659</v>
      </c>
      <c r="I8" s="414">
        <v>-11267.106367460947</v>
      </c>
      <c r="J8" s="414">
        <v>-641.74695916095516</v>
      </c>
      <c r="K8" s="414">
        <v>16097.652711210423</v>
      </c>
      <c r="L8" s="414">
        <v>10826.689519131643</v>
      </c>
      <c r="M8" s="414">
        <v>-8626.0070653149014</v>
      </c>
      <c r="N8" s="414">
        <v>16742.674684425961</v>
      </c>
      <c r="O8" s="414">
        <v>50141.842238642348</v>
      </c>
      <c r="P8" s="414">
        <v>23356.861587794992</v>
      </c>
      <c r="Q8" s="74" t="s">
        <v>318</v>
      </c>
      <c r="R8" s="131"/>
      <c r="S8" s="211"/>
      <c r="T8" s="131"/>
      <c r="U8" s="131"/>
      <c r="V8" s="131"/>
      <c r="W8" s="131"/>
      <c r="X8" s="131"/>
      <c r="Y8" s="131"/>
      <c r="Z8" s="131"/>
      <c r="AA8" s="131"/>
      <c r="AB8" s="131"/>
    </row>
    <row r="9" spans="2:28" ht="24.95" customHeight="1">
      <c r="B9" s="412" t="s">
        <v>331</v>
      </c>
      <c r="C9" s="10"/>
      <c r="D9" s="10"/>
      <c r="E9" s="10"/>
      <c r="F9" s="10"/>
      <c r="G9" s="10"/>
      <c r="H9" s="10"/>
      <c r="I9" s="10"/>
      <c r="J9" s="10"/>
      <c r="K9" s="10"/>
      <c r="L9" s="10"/>
      <c r="M9" s="10"/>
      <c r="N9" s="10"/>
      <c r="O9" s="10"/>
      <c r="P9" s="10"/>
      <c r="Q9" s="64" t="s">
        <v>332</v>
      </c>
    </row>
    <row r="10" spans="2:28" s="1" customFormat="1" ht="24.95" customHeight="1">
      <c r="B10" s="76" t="s">
        <v>308</v>
      </c>
      <c r="C10" s="503"/>
      <c r="D10" s="10"/>
      <c r="E10" s="10"/>
      <c r="F10" s="10"/>
      <c r="G10" s="10"/>
      <c r="H10" s="10"/>
      <c r="I10" s="10"/>
      <c r="J10" s="10"/>
      <c r="K10" s="10"/>
      <c r="L10" s="10"/>
      <c r="M10" s="10"/>
      <c r="N10" s="10"/>
      <c r="O10" s="10"/>
      <c r="P10" s="10"/>
      <c r="Q10" s="81" t="s">
        <v>309</v>
      </c>
    </row>
    <row r="11" spans="2:28" ht="24.95" customHeight="1">
      <c r="C11" s="503"/>
      <c r="D11" s="10"/>
      <c r="E11" s="10"/>
      <c r="F11" s="10"/>
      <c r="G11" s="10"/>
      <c r="H11" s="10"/>
      <c r="I11" s="10"/>
      <c r="J11" s="504"/>
      <c r="K11" s="10"/>
      <c r="L11" s="503"/>
      <c r="M11" s="10"/>
      <c r="N11" s="10"/>
      <c r="O11" s="10"/>
      <c r="P11" s="10"/>
    </row>
    <row r="12" spans="2:28" ht="25.15" customHeight="1">
      <c r="B12" s="551" t="s">
        <v>447</v>
      </c>
      <c r="C12" s="551"/>
      <c r="D12" s="551"/>
      <c r="E12" s="551"/>
      <c r="F12" s="551"/>
      <c r="G12" s="551"/>
      <c r="H12" s="551"/>
      <c r="I12" s="551"/>
      <c r="J12" s="551"/>
      <c r="K12" s="551"/>
      <c r="L12" s="551"/>
      <c r="M12" s="551"/>
      <c r="N12" s="551"/>
      <c r="O12" s="551"/>
      <c r="P12" s="551"/>
      <c r="Q12" s="551"/>
    </row>
    <row r="13" spans="2:28" ht="25.15" customHeight="1">
      <c r="B13" s="552" t="s">
        <v>445</v>
      </c>
      <c r="C13" s="552"/>
      <c r="D13" s="552"/>
      <c r="E13" s="552"/>
      <c r="F13" s="552"/>
      <c r="G13" s="552"/>
      <c r="H13" s="552"/>
      <c r="I13" s="552"/>
      <c r="J13" s="552"/>
      <c r="K13" s="552"/>
      <c r="L13" s="552"/>
      <c r="M13" s="552"/>
      <c r="N13" s="552"/>
      <c r="O13" s="552"/>
      <c r="P13" s="552"/>
      <c r="Q13" s="552"/>
    </row>
    <row r="14" spans="2:28" ht="25.15" customHeight="1">
      <c r="B14" s="124"/>
      <c r="C14" s="124"/>
      <c r="D14" s="124"/>
      <c r="E14" s="124"/>
      <c r="F14" s="124"/>
      <c r="G14" s="124"/>
      <c r="H14" s="124"/>
      <c r="I14" s="124"/>
      <c r="J14" s="124"/>
      <c r="K14" s="124"/>
      <c r="L14" s="124"/>
      <c r="M14" s="124"/>
      <c r="N14" s="124"/>
      <c r="O14" s="124"/>
      <c r="P14" s="124"/>
      <c r="Q14" s="211" t="s">
        <v>388</v>
      </c>
    </row>
    <row r="15" spans="2:28" ht="25.15" customHeight="1">
      <c r="B15" s="89" t="s">
        <v>8</v>
      </c>
      <c r="C15" s="106">
        <v>2010</v>
      </c>
      <c r="D15" s="50">
        <v>2011</v>
      </c>
      <c r="E15" s="50">
        <v>2012</v>
      </c>
      <c r="F15" s="50">
        <v>2013</v>
      </c>
      <c r="G15" s="50">
        <v>2014</v>
      </c>
      <c r="H15" s="50">
        <v>2015</v>
      </c>
      <c r="I15" s="50">
        <v>2016</v>
      </c>
      <c r="J15" s="50">
        <v>2017</v>
      </c>
      <c r="K15" s="3">
        <v>2018</v>
      </c>
      <c r="L15" s="50">
        <v>2019</v>
      </c>
      <c r="M15" s="158">
        <v>2020</v>
      </c>
      <c r="N15" s="158">
        <v>2021</v>
      </c>
      <c r="O15" s="158">
        <v>2022</v>
      </c>
      <c r="P15" s="158" t="s">
        <v>324</v>
      </c>
      <c r="Q15" s="106" t="s">
        <v>22</v>
      </c>
    </row>
    <row r="16" spans="2:28" ht="25.15" customHeight="1">
      <c r="B16" s="242" t="s">
        <v>213</v>
      </c>
      <c r="C16" s="244">
        <v>76830.177634682128</v>
      </c>
      <c r="D16" s="244">
        <v>75892.936805797144</v>
      </c>
      <c r="E16" s="244">
        <v>84049.061577040164</v>
      </c>
      <c r="F16" s="244">
        <v>85738.878813767195</v>
      </c>
      <c r="G16" s="244">
        <v>75050.311982328101</v>
      </c>
      <c r="H16" s="244">
        <v>43575.619245426817</v>
      </c>
      <c r="I16" s="244">
        <v>29567.82697225596</v>
      </c>
      <c r="J16" s="244">
        <v>44180.505935234854</v>
      </c>
      <c r="K16" s="244">
        <v>58007.931382837305</v>
      </c>
      <c r="L16" s="244">
        <v>62230.084171313822</v>
      </c>
      <c r="M16" s="244">
        <v>41166.64284734377</v>
      </c>
      <c r="N16" s="244">
        <v>54068.440322905379</v>
      </c>
      <c r="O16" s="244">
        <v>88559.667899450782</v>
      </c>
      <c r="P16" s="267">
        <v>85723.487758976189</v>
      </c>
      <c r="Q16" s="168" t="s">
        <v>209</v>
      </c>
      <c r="R16" s="63"/>
      <c r="S16" s="63"/>
      <c r="T16" s="63"/>
      <c r="U16" s="63"/>
      <c r="V16" s="63"/>
      <c r="W16" s="63"/>
      <c r="X16" s="63"/>
      <c r="Y16" s="63"/>
      <c r="Z16" s="63"/>
      <c r="AA16" s="63"/>
    </row>
    <row r="17" spans="2:27" ht="25.15" customHeight="1">
      <c r="B17" s="166" t="s">
        <v>214</v>
      </c>
      <c r="C17" s="244">
        <v>1177.8024537290676</v>
      </c>
      <c r="D17" s="244">
        <v>1177.8008199646017</v>
      </c>
      <c r="E17" s="244">
        <v>1216.6497620449286</v>
      </c>
      <c r="F17" s="244">
        <v>1389.7510938053097</v>
      </c>
      <c r="G17" s="244">
        <v>1442.2599427420014</v>
      </c>
      <c r="H17" s="244">
        <v>1170.0582863526208</v>
      </c>
      <c r="I17" s="244">
        <v>1288.063929385977</v>
      </c>
      <c r="J17" s="244">
        <v>1258.6662554771954</v>
      </c>
      <c r="K17" s="244">
        <v>1316.9274280980258</v>
      </c>
      <c r="L17" s="244">
        <v>1248.1347566997956</v>
      </c>
      <c r="M17" s="244">
        <v>3514.7245307528933</v>
      </c>
      <c r="N17" s="244">
        <v>3688.4280397168145</v>
      </c>
      <c r="O17" s="244">
        <v>10338.884096144315</v>
      </c>
      <c r="P17" s="267">
        <v>4361.8205963784885</v>
      </c>
      <c r="Q17" s="168" t="s">
        <v>210</v>
      </c>
    </row>
    <row r="18" spans="2:27" ht="25.15" customHeight="1">
      <c r="B18" s="90" t="s">
        <v>215</v>
      </c>
      <c r="C18" s="244">
        <v>5513.3324866004086</v>
      </c>
      <c r="D18" s="244">
        <v>0</v>
      </c>
      <c r="E18" s="244">
        <v>0</v>
      </c>
      <c r="F18" s="244">
        <v>0</v>
      </c>
      <c r="G18" s="244">
        <v>0</v>
      </c>
      <c r="H18" s="244">
        <v>0</v>
      </c>
      <c r="I18" s="244">
        <v>1.1319264715190007E-5</v>
      </c>
      <c r="J18" s="244">
        <v>0</v>
      </c>
      <c r="K18" s="244">
        <v>0</v>
      </c>
      <c r="L18" s="244">
        <v>0</v>
      </c>
      <c r="M18" s="244">
        <v>0</v>
      </c>
      <c r="N18" s="244">
        <v>-3.2194502717625869E-12</v>
      </c>
      <c r="O18" s="244">
        <v>0</v>
      </c>
      <c r="P18" s="267">
        <v>8.6677507316684786E-13</v>
      </c>
      <c r="Q18" s="168" t="s">
        <v>211</v>
      </c>
    </row>
    <row r="19" spans="2:27" ht="25.15" customHeight="1">
      <c r="B19" s="90" t="s">
        <v>5</v>
      </c>
      <c r="C19" s="268">
        <v>19913.785215447246</v>
      </c>
      <c r="D19" s="268">
        <v>20818.330686586796</v>
      </c>
      <c r="E19" s="268">
        <v>21289.123666701158</v>
      </c>
      <c r="F19" s="268">
        <v>25076.264327343772</v>
      </c>
      <c r="G19" s="268">
        <v>27157.613323262081</v>
      </c>
      <c r="H19" s="268">
        <v>31840.003433206264</v>
      </c>
      <c r="I19" s="268">
        <v>78899.110689323352</v>
      </c>
      <c r="J19" s="268">
        <v>63795.402193797148</v>
      </c>
      <c r="K19" s="268">
        <v>70759.576624040856</v>
      </c>
      <c r="L19" s="268">
        <v>66262.17068495031</v>
      </c>
      <c r="M19" s="268">
        <v>55486.217284829137</v>
      </c>
      <c r="N19" s="268">
        <v>68552.006051481279</v>
      </c>
      <c r="O19" s="268">
        <v>67542.006326114089</v>
      </c>
      <c r="P19" s="269">
        <v>53204.43065866753</v>
      </c>
      <c r="Q19" s="168" t="s">
        <v>212</v>
      </c>
      <c r="R19" s="63"/>
      <c r="S19" s="63"/>
      <c r="T19" s="63"/>
      <c r="U19" s="63"/>
      <c r="V19" s="63"/>
      <c r="W19" s="63"/>
      <c r="X19" s="63"/>
      <c r="Y19" s="63"/>
      <c r="Z19" s="63"/>
      <c r="AA19" s="63"/>
    </row>
    <row r="20" spans="2:27" ht="25.15" customHeight="1" thickBot="1">
      <c r="B20" s="73" t="s">
        <v>9</v>
      </c>
      <c r="C20" s="94">
        <v>103435.09779045885</v>
      </c>
      <c r="D20" s="94">
        <v>97889.068312348536</v>
      </c>
      <c r="E20" s="94">
        <v>106554.83500578624</v>
      </c>
      <c r="F20" s="94">
        <v>112204.89423491628</v>
      </c>
      <c r="G20" s="94">
        <v>103650.18524833219</v>
      </c>
      <c r="H20" s="94">
        <v>76585.680964985702</v>
      </c>
      <c r="I20" s="94">
        <v>109755.00160228455</v>
      </c>
      <c r="J20" s="94">
        <v>109234.57438450921</v>
      </c>
      <c r="K20" s="94">
        <v>130084.43543497619</v>
      </c>
      <c r="L20" s="94">
        <v>129740.38961296392</v>
      </c>
      <c r="M20" s="94">
        <v>100167.5846629258</v>
      </c>
      <c r="N20" s="94">
        <v>126308.87441410347</v>
      </c>
      <c r="O20" s="94">
        <v>166440.55832170919</v>
      </c>
      <c r="P20" s="94">
        <v>143289.7390140222</v>
      </c>
      <c r="Q20" s="111" t="s">
        <v>10</v>
      </c>
      <c r="R20" s="131"/>
      <c r="S20" s="131"/>
      <c r="T20" s="131"/>
      <c r="U20" s="131"/>
      <c r="V20" s="131"/>
      <c r="W20" s="131"/>
      <c r="X20" s="131"/>
      <c r="Y20" s="131"/>
      <c r="Z20" s="131"/>
      <c r="AA20" s="131"/>
    </row>
    <row r="21" spans="2:27" ht="24.95" customHeight="1">
      <c r="B21" s="412" t="s">
        <v>331</v>
      </c>
      <c r="C21" s="10"/>
      <c r="D21" s="10"/>
      <c r="E21" s="10"/>
      <c r="F21" s="10"/>
      <c r="G21" s="10"/>
      <c r="H21" s="10"/>
      <c r="I21" s="10"/>
      <c r="J21" s="10"/>
      <c r="K21" s="10"/>
      <c r="L21" s="10"/>
      <c r="M21" s="10"/>
      <c r="N21" s="10"/>
      <c r="O21" s="10"/>
      <c r="P21" s="10"/>
      <c r="Q21" s="64" t="s">
        <v>332</v>
      </c>
    </row>
    <row r="22" spans="2:27" s="1" customFormat="1" ht="24.95" customHeight="1">
      <c r="B22" s="76" t="s">
        <v>308</v>
      </c>
      <c r="C22" s="10"/>
      <c r="D22" s="10"/>
      <c r="E22" s="10"/>
      <c r="F22" s="10"/>
      <c r="G22" s="10"/>
      <c r="H22" s="10"/>
      <c r="I22" s="10"/>
      <c r="J22" s="10"/>
      <c r="K22" s="10"/>
      <c r="L22" s="10"/>
      <c r="M22" s="10"/>
      <c r="N22" s="10"/>
      <c r="O22" s="10"/>
      <c r="P22" s="10"/>
      <c r="Q22" s="81" t="s">
        <v>309</v>
      </c>
    </row>
    <row r="23" spans="2:27" ht="24.95" customHeight="1">
      <c r="B23" s="34"/>
      <c r="C23" s="10"/>
      <c r="D23" s="10"/>
      <c r="E23" s="10"/>
      <c r="F23" s="10"/>
      <c r="G23" s="10"/>
      <c r="H23" s="10"/>
      <c r="I23" s="10"/>
      <c r="J23" s="10"/>
      <c r="K23" s="10"/>
      <c r="L23" s="10"/>
      <c r="M23" s="10"/>
      <c r="N23" s="10"/>
      <c r="O23" s="10"/>
      <c r="P23" s="10"/>
      <c r="Q23" s="53"/>
    </row>
    <row r="24" spans="2:27" ht="24.95" customHeight="1">
      <c r="B24" s="34"/>
      <c r="C24" s="10"/>
      <c r="D24" s="10"/>
      <c r="E24" s="10"/>
      <c r="F24" s="10"/>
      <c r="G24" s="10"/>
      <c r="H24" s="10"/>
      <c r="I24" s="10"/>
      <c r="J24" s="10"/>
      <c r="K24" s="10"/>
      <c r="L24" s="10"/>
      <c r="M24" s="10"/>
      <c r="N24" s="10"/>
      <c r="O24" s="10"/>
      <c r="P24" s="10"/>
      <c r="Q24" s="53"/>
    </row>
    <row r="25" spans="2:27" ht="24.95" customHeight="1">
      <c r="B25" s="34"/>
      <c r="C25" s="10"/>
      <c r="D25" s="10"/>
      <c r="E25" s="10"/>
      <c r="F25" s="10"/>
      <c r="G25" s="10"/>
      <c r="H25" s="10"/>
      <c r="I25" s="10"/>
      <c r="J25" s="10"/>
      <c r="K25" s="10"/>
      <c r="L25" s="10"/>
      <c r="M25" s="10"/>
      <c r="N25" s="10"/>
      <c r="O25" s="10"/>
      <c r="P25" s="10"/>
      <c r="Q25" s="53"/>
    </row>
    <row r="26" spans="2:27" ht="25.15" customHeight="1">
      <c r="B26" s="551" t="s">
        <v>448</v>
      </c>
      <c r="C26" s="551"/>
      <c r="D26" s="551"/>
      <c r="E26" s="551"/>
      <c r="F26" s="551"/>
      <c r="G26" s="551"/>
      <c r="H26" s="551"/>
      <c r="I26" s="551"/>
      <c r="J26" s="551"/>
      <c r="K26" s="551"/>
      <c r="L26" s="551"/>
      <c r="M26" s="551"/>
      <c r="N26" s="551"/>
      <c r="O26" s="551"/>
      <c r="P26" s="551"/>
      <c r="Q26" s="551"/>
    </row>
    <row r="27" spans="2:27" ht="25.15" customHeight="1">
      <c r="B27" s="553" t="s">
        <v>446</v>
      </c>
      <c r="C27" s="553"/>
      <c r="D27" s="553"/>
      <c r="E27" s="553"/>
      <c r="F27" s="553"/>
      <c r="G27" s="553"/>
      <c r="H27" s="553"/>
      <c r="I27" s="553"/>
      <c r="J27" s="553"/>
      <c r="K27" s="553"/>
      <c r="L27" s="553"/>
      <c r="M27" s="553"/>
      <c r="N27" s="553"/>
      <c r="O27" s="553"/>
      <c r="P27" s="553"/>
      <c r="Q27" s="553"/>
    </row>
    <row r="28" spans="2:27" ht="25.15" customHeight="1">
      <c r="B28" s="125"/>
      <c r="C28" s="125"/>
      <c r="D28" s="125"/>
      <c r="E28" s="125"/>
      <c r="F28" s="125"/>
      <c r="G28" s="125"/>
      <c r="H28" s="125"/>
      <c r="I28" s="125"/>
      <c r="J28" s="125"/>
      <c r="K28" s="125"/>
      <c r="L28" s="125"/>
      <c r="M28" s="125"/>
      <c r="N28" s="125"/>
      <c r="O28" s="125"/>
      <c r="P28" s="125"/>
      <c r="Q28" s="211" t="s">
        <v>388</v>
      </c>
    </row>
    <row r="29" spans="2:27" ht="25.15" customHeight="1">
      <c r="B29" s="183" t="s">
        <v>12</v>
      </c>
      <c r="C29" s="49">
        <v>2010</v>
      </c>
      <c r="D29" s="49">
        <v>2011</v>
      </c>
      <c r="E29" s="49">
        <v>2012</v>
      </c>
      <c r="F29" s="49">
        <v>2013</v>
      </c>
      <c r="G29" s="49">
        <v>2014</v>
      </c>
      <c r="H29" s="49">
        <v>2015</v>
      </c>
      <c r="I29" s="49">
        <v>2016</v>
      </c>
      <c r="J29" s="49">
        <v>2017</v>
      </c>
      <c r="K29" s="49">
        <v>2018</v>
      </c>
      <c r="L29" s="49">
        <v>2019</v>
      </c>
      <c r="M29" s="49">
        <v>2020</v>
      </c>
      <c r="N29" s="49">
        <v>2021</v>
      </c>
      <c r="O29" s="49">
        <v>2022</v>
      </c>
      <c r="P29" s="158" t="s">
        <v>324</v>
      </c>
      <c r="Q29" s="49" t="s">
        <v>22</v>
      </c>
    </row>
    <row r="30" spans="2:27" ht="25.15" customHeight="1">
      <c r="B30" s="71" t="s">
        <v>231</v>
      </c>
      <c r="C30" s="273">
        <v>81162.499586740101</v>
      </c>
      <c r="D30" s="273">
        <v>75616.358007600502</v>
      </c>
      <c r="E30" s="273">
        <v>80146.786188501297</v>
      </c>
      <c r="F30" s="273">
        <v>92652.277332541868</v>
      </c>
      <c r="G30" s="273">
        <v>102035.4562714527</v>
      </c>
      <c r="H30" s="273">
        <v>91309.343537504188</v>
      </c>
      <c r="I30" s="273">
        <v>107041.22584292725</v>
      </c>
      <c r="J30" s="273">
        <v>97609.564350074521</v>
      </c>
      <c r="K30" s="273">
        <v>105707.08649749488</v>
      </c>
      <c r="L30" s="273">
        <v>104299.8238690998</v>
      </c>
      <c r="M30" s="273">
        <v>96126.080570077218</v>
      </c>
      <c r="N30" s="273">
        <v>104123.87128360062</v>
      </c>
      <c r="O30" s="273">
        <v>105713.90211923997</v>
      </c>
      <c r="P30" s="273">
        <v>110501.13920246961</v>
      </c>
      <c r="Q30" s="63" t="s">
        <v>230</v>
      </c>
    </row>
    <row r="31" spans="2:27" ht="25.15" customHeight="1">
      <c r="B31" s="270" t="s">
        <v>3</v>
      </c>
      <c r="C31" s="274">
        <v>9608.2237657862479</v>
      </c>
      <c r="D31" s="274">
        <v>9590.2329753274335</v>
      </c>
      <c r="E31" s="274">
        <v>10637.401707267802</v>
      </c>
      <c r="F31" s="274">
        <v>11470.89135956433</v>
      </c>
      <c r="G31" s="274">
        <v>12939.174259357385</v>
      </c>
      <c r="H31" s="274">
        <v>17157.123604626275</v>
      </c>
      <c r="I31" s="274">
        <v>17760.333356198775</v>
      </c>
      <c r="J31" s="274">
        <v>20713.210179292033</v>
      </c>
      <c r="K31" s="274">
        <v>22664.458408721581</v>
      </c>
      <c r="L31" s="274">
        <v>29332.091010554119</v>
      </c>
      <c r="M31" s="274">
        <v>29951.070126941868</v>
      </c>
      <c r="N31" s="274">
        <v>30909.066993368549</v>
      </c>
      <c r="O31" s="274">
        <v>32322.634890975631</v>
      </c>
      <c r="P31" s="274">
        <v>32243.704762643381</v>
      </c>
      <c r="Q31" s="247" t="s">
        <v>222</v>
      </c>
      <c r="R31" s="63"/>
      <c r="S31" s="63"/>
      <c r="T31" s="63"/>
      <c r="U31" s="63"/>
      <c r="V31" s="63"/>
      <c r="W31" s="63"/>
      <c r="X31" s="63"/>
      <c r="Y31" s="63"/>
      <c r="Z31" s="63"/>
      <c r="AA31" s="63"/>
    </row>
    <row r="32" spans="2:27" ht="25.15" customHeight="1">
      <c r="B32" s="271" t="s">
        <v>216</v>
      </c>
      <c r="C32" s="274">
        <v>12187.84587596814</v>
      </c>
      <c r="D32" s="274">
        <v>12178.030347017833</v>
      </c>
      <c r="E32" s="274">
        <v>11010.284126616745</v>
      </c>
      <c r="F32" s="274">
        <v>11758.420615384615</v>
      </c>
      <c r="G32" s="274">
        <v>13480.05358754527</v>
      </c>
      <c r="H32" s="274">
        <v>16283.317808213507</v>
      </c>
      <c r="I32" s="274">
        <v>16956.279868446643</v>
      </c>
      <c r="J32" s="274">
        <v>24759.644552939062</v>
      </c>
      <c r="K32" s="274">
        <v>23582.887349429544</v>
      </c>
      <c r="L32" s="274">
        <v>32519.420324465351</v>
      </c>
      <c r="M32" s="274">
        <v>28647.93380607216</v>
      </c>
      <c r="N32" s="274">
        <v>34184.241195006674</v>
      </c>
      <c r="O32" s="274">
        <v>37175.346642621102</v>
      </c>
      <c r="P32" s="274">
        <v>32654.878874757862</v>
      </c>
      <c r="Q32" s="165" t="s">
        <v>223</v>
      </c>
    </row>
    <row r="33" spans="2:27" ht="25.15" customHeight="1">
      <c r="B33" s="90" t="s">
        <v>217</v>
      </c>
      <c r="C33" s="274">
        <v>1073.5522863580668</v>
      </c>
      <c r="D33" s="274">
        <v>1060.5449401851602</v>
      </c>
      <c r="E33" s="274">
        <v>946.15667238665776</v>
      </c>
      <c r="F33" s="274">
        <v>904.29585589108251</v>
      </c>
      <c r="G33" s="274">
        <v>1025.4967038774676</v>
      </c>
      <c r="H33" s="274">
        <v>1250.189764329476</v>
      </c>
      <c r="I33" s="274">
        <v>1617.4887515289313</v>
      </c>
      <c r="J33" s="274">
        <v>1368.7005324901293</v>
      </c>
      <c r="K33" s="274">
        <v>1264.685920697073</v>
      </c>
      <c r="L33" s="274">
        <v>1444.6158220313137</v>
      </c>
      <c r="M33" s="274">
        <v>1769.4085259345352</v>
      </c>
      <c r="N33" s="274">
        <v>2508.0902130135246</v>
      </c>
      <c r="O33" s="274">
        <v>2609.5171375274417</v>
      </c>
      <c r="P33" s="274">
        <v>2927.1113329561972</v>
      </c>
      <c r="Q33" s="165" t="s">
        <v>224</v>
      </c>
    </row>
    <row r="34" spans="2:27" ht="25.15" customHeight="1">
      <c r="B34" s="90" t="s">
        <v>218</v>
      </c>
      <c r="C34" s="274">
        <v>644.35581522940788</v>
      </c>
      <c r="D34" s="274">
        <v>644.3491147991831</v>
      </c>
      <c r="E34" s="274">
        <v>1176.2438431558883</v>
      </c>
      <c r="F34" s="274">
        <v>1608.8563430905378</v>
      </c>
      <c r="G34" s="274">
        <v>1109.523439319265</v>
      </c>
      <c r="H34" s="274">
        <v>759.8493199618789</v>
      </c>
      <c r="I34" s="274">
        <v>541.64670988427508</v>
      </c>
      <c r="J34" s="274">
        <v>524.34901222328119</v>
      </c>
      <c r="K34" s="274">
        <v>997.49482525255269</v>
      </c>
      <c r="L34" s="274">
        <v>1234.366670940776</v>
      </c>
      <c r="M34" s="274">
        <v>1042.185536596324</v>
      </c>
      <c r="N34" s="274">
        <v>1251.3185145459495</v>
      </c>
      <c r="O34" s="274">
        <v>2589.269959311096</v>
      </c>
      <c r="P34" s="274">
        <v>3268.8798972906743</v>
      </c>
      <c r="Q34" s="165" t="s">
        <v>225</v>
      </c>
    </row>
    <row r="35" spans="2:27" ht="25.15" customHeight="1">
      <c r="B35" s="90" t="s">
        <v>219</v>
      </c>
      <c r="C35" s="274">
        <v>1990.2643177808031</v>
      </c>
      <c r="D35" s="274">
        <v>1990.2643177808034</v>
      </c>
      <c r="E35" s="274">
        <v>2282.8992371599729</v>
      </c>
      <c r="F35" s="274">
        <v>2740.7882878148398</v>
      </c>
      <c r="G35" s="274">
        <v>3289.1532587991837</v>
      </c>
      <c r="H35" s="274">
        <v>3345.4055923594287</v>
      </c>
      <c r="I35" s="274">
        <v>2393.8084391613343</v>
      </c>
      <c r="J35" s="274">
        <v>5949.52364211028</v>
      </c>
      <c r="K35" s="274">
        <v>8966.8903843403677</v>
      </c>
      <c r="L35" s="274">
        <v>7330.8042579278426</v>
      </c>
      <c r="M35" s="274">
        <v>9912.7037073328811</v>
      </c>
      <c r="N35" s="274">
        <v>9610.0035468400274</v>
      </c>
      <c r="O35" s="274">
        <v>6577.3647763975496</v>
      </c>
      <c r="P35" s="274">
        <v>10137.326017870662</v>
      </c>
      <c r="Q35" s="165" t="s">
        <v>226</v>
      </c>
    </row>
    <row r="36" spans="2:27" ht="25.15" customHeight="1">
      <c r="B36" s="90" t="s">
        <v>215</v>
      </c>
      <c r="C36" s="274">
        <v>44252.334601731796</v>
      </c>
      <c r="D36" s="274">
        <v>1778.0985860312867</v>
      </c>
      <c r="E36" s="274">
        <v>708.86767710279105</v>
      </c>
      <c r="F36" s="274">
        <v>5889.820841116406</v>
      </c>
      <c r="G36" s="274">
        <v>5975.1082772579985</v>
      </c>
      <c r="H36" s="274">
        <v>2388.3339628563654</v>
      </c>
      <c r="I36" s="274">
        <v>4790.9739441797146</v>
      </c>
      <c r="J36" s="274">
        <v>2684.4787570891763</v>
      </c>
      <c r="K36" s="274">
        <v>3622.2099061102795</v>
      </c>
      <c r="L36" s="274">
        <v>4435.9119716487403</v>
      </c>
      <c r="M36" s="274">
        <v>1082.5645353573859</v>
      </c>
      <c r="N36" s="274">
        <v>489.36737746034038</v>
      </c>
      <c r="O36" s="274">
        <v>418.35355457862494</v>
      </c>
      <c r="P36" s="274">
        <v>335.92332534785572</v>
      </c>
      <c r="Q36" s="165" t="s">
        <v>211</v>
      </c>
    </row>
    <row r="37" spans="2:27" ht="25.15" customHeight="1">
      <c r="B37" s="90" t="s">
        <v>220</v>
      </c>
      <c r="C37" s="274">
        <v>8651.1358857971409</v>
      </c>
      <c r="D37" s="274">
        <v>8296.4621830388023</v>
      </c>
      <c r="E37" s="274">
        <v>13281.746551496257</v>
      </c>
      <c r="F37" s="274">
        <v>14281.654676378488</v>
      </c>
      <c r="G37" s="274">
        <v>16730.197390992511</v>
      </c>
      <c r="H37" s="274">
        <v>11598.251764114364</v>
      </c>
      <c r="I37" s="274">
        <v>9602.0125747229413</v>
      </c>
      <c r="J37" s="274">
        <v>11225.30733827638</v>
      </c>
      <c r="K37" s="274">
        <v>17906.059452013615</v>
      </c>
      <c r="L37" s="274">
        <v>20321.481420574542</v>
      </c>
      <c r="M37" s="274">
        <v>17680.852260958476</v>
      </c>
      <c r="N37" s="274">
        <v>16580.515220550034</v>
      </c>
      <c r="O37" s="274">
        <v>16059.738695202177</v>
      </c>
      <c r="P37" s="274">
        <v>18498.512884917636</v>
      </c>
      <c r="Q37" s="165" t="s">
        <v>227</v>
      </c>
      <c r="R37" s="63"/>
      <c r="S37" s="63"/>
      <c r="T37" s="63"/>
      <c r="U37" s="63"/>
      <c r="V37" s="63"/>
      <c r="W37" s="63"/>
      <c r="X37" s="63"/>
      <c r="Y37" s="63"/>
      <c r="Z37" s="63"/>
      <c r="AA37" s="63"/>
    </row>
    <row r="38" spans="2:27" ht="25.15" customHeight="1">
      <c r="B38" s="90" t="s">
        <v>221</v>
      </c>
      <c r="C38" s="274">
        <v>2754.7870380884951</v>
      </c>
      <c r="D38" s="274">
        <v>40078.375543420014</v>
      </c>
      <c r="E38" s="274">
        <v>40103.186373315184</v>
      </c>
      <c r="F38" s="274">
        <v>43997.549353301569</v>
      </c>
      <c r="G38" s="274">
        <v>47486.749354303611</v>
      </c>
      <c r="H38" s="274">
        <v>38526.871721042888</v>
      </c>
      <c r="I38" s="274">
        <v>53378.682198804629</v>
      </c>
      <c r="J38" s="274">
        <v>30384.350335654188</v>
      </c>
      <c r="K38" s="274">
        <v>26702.400250929881</v>
      </c>
      <c r="L38" s="274">
        <v>7681.1323909571147</v>
      </c>
      <c r="M38" s="274">
        <v>6039.3620708835952</v>
      </c>
      <c r="N38" s="274">
        <v>8591.2682228155209</v>
      </c>
      <c r="O38" s="274">
        <v>7961.6764626263312</v>
      </c>
      <c r="P38" s="274">
        <v>10434.802106685362</v>
      </c>
      <c r="Q38" s="165" t="s">
        <v>228</v>
      </c>
    </row>
    <row r="39" spans="2:27" ht="25.15" customHeight="1">
      <c r="B39" s="6" t="s">
        <v>232</v>
      </c>
      <c r="C39" s="275">
        <v>12426.546965110954</v>
      </c>
      <c r="D39" s="275">
        <v>12451.007271904697</v>
      </c>
      <c r="E39" s="275">
        <v>12062.442701685502</v>
      </c>
      <c r="F39" s="275">
        <v>9123.2378575901967</v>
      </c>
      <c r="G39" s="275">
        <v>10860.727493176311</v>
      </c>
      <c r="H39" s="275">
        <v>9548.1959520081691</v>
      </c>
      <c r="I39" s="275">
        <v>13980.882126818244</v>
      </c>
      <c r="J39" s="275">
        <v>12266.756993595645</v>
      </c>
      <c r="K39" s="275">
        <v>8279.6962262708785</v>
      </c>
      <c r="L39" s="275">
        <v>14613.876224732472</v>
      </c>
      <c r="M39" s="275">
        <v>12667.511158163486</v>
      </c>
      <c r="N39" s="275">
        <v>5442.3284460768964</v>
      </c>
      <c r="O39" s="275">
        <v>10584.813963826875</v>
      </c>
      <c r="P39" s="275">
        <v>9431.7382237576003</v>
      </c>
      <c r="Q39" s="63" t="s">
        <v>229</v>
      </c>
    </row>
    <row r="40" spans="2:27" ht="25.15" customHeight="1" thickBot="1">
      <c r="B40" s="72" t="s">
        <v>11</v>
      </c>
      <c r="C40" s="272">
        <v>93589.046551851061</v>
      </c>
      <c r="D40" s="272">
        <v>88067.365279505204</v>
      </c>
      <c r="E40" s="272">
        <v>92209.228890186801</v>
      </c>
      <c r="F40" s="272">
        <v>101775.51519013206</v>
      </c>
      <c r="G40" s="272">
        <v>112896.18376462901</v>
      </c>
      <c r="H40" s="272">
        <v>100857.53948951236</v>
      </c>
      <c r="I40" s="272">
        <v>121022.1079697455</v>
      </c>
      <c r="J40" s="272">
        <v>109876.32134367016</v>
      </c>
      <c r="K40" s="272">
        <v>113986.78272376576</v>
      </c>
      <c r="L40" s="272">
        <v>118913.70009383227</v>
      </c>
      <c r="M40" s="272">
        <v>108793.5917282407</v>
      </c>
      <c r="N40" s="272">
        <v>109566.19972967751</v>
      </c>
      <c r="O40" s="272">
        <v>116298.71608306684</v>
      </c>
      <c r="P40" s="272">
        <v>119932.87742622721</v>
      </c>
      <c r="Q40" s="74" t="s">
        <v>21</v>
      </c>
      <c r="R40" s="131"/>
      <c r="S40" s="131"/>
      <c r="T40" s="131"/>
      <c r="U40" s="131"/>
      <c r="V40" s="131"/>
      <c r="W40" s="131"/>
      <c r="X40" s="131"/>
      <c r="Y40" s="131"/>
      <c r="Z40" s="131"/>
      <c r="AA40" s="131"/>
    </row>
    <row r="41" spans="2:27" ht="24.95" customHeight="1">
      <c r="B41" s="412" t="s">
        <v>331</v>
      </c>
      <c r="C41" s="10"/>
      <c r="D41" s="10"/>
      <c r="E41" s="10"/>
      <c r="F41" s="10"/>
      <c r="G41" s="10"/>
      <c r="H41" s="10"/>
      <c r="I41" s="10"/>
      <c r="J41" s="10"/>
      <c r="K41" s="10"/>
      <c r="L41" s="10"/>
      <c r="M41" s="10"/>
      <c r="N41" s="10"/>
      <c r="O41" s="10"/>
      <c r="P41" s="10"/>
      <c r="Q41" s="64" t="s">
        <v>332</v>
      </c>
    </row>
    <row r="42" spans="2:27" s="1" customFormat="1" ht="24.95" customHeight="1">
      <c r="B42" s="76" t="s">
        <v>308</v>
      </c>
      <c r="C42" s="10"/>
      <c r="D42" s="10"/>
      <c r="E42" s="10"/>
      <c r="F42" s="10"/>
      <c r="G42" s="10"/>
      <c r="H42" s="10"/>
      <c r="I42" s="10"/>
      <c r="J42" s="10"/>
      <c r="K42" s="10"/>
      <c r="L42" s="10"/>
      <c r="M42" s="10"/>
      <c r="N42" s="10"/>
      <c r="O42" s="10"/>
      <c r="P42" s="10"/>
      <c r="Q42" s="81" t="s">
        <v>309</v>
      </c>
    </row>
    <row r="43" spans="2:27" ht="24.95" customHeight="1">
      <c r="C43" s="10"/>
      <c r="D43" s="10"/>
      <c r="E43" s="10"/>
      <c r="F43" s="10"/>
      <c r="G43" s="10"/>
      <c r="H43" s="10"/>
      <c r="I43" s="10"/>
      <c r="J43" s="10"/>
      <c r="K43" s="10"/>
      <c r="L43" s="10"/>
      <c r="M43" s="10"/>
      <c r="N43" s="10"/>
      <c r="O43" s="10"/>
      <c r="P43" s="10"/>
    </row>
    <row r="44" spans="2:27" ht="25.15" customHeight="1">
      <c r="C44" s="10"/>
      <c r="D44" s="10"/>
      <c r="E44" s="10"/>
      <c r="F44" s="10"/>
      <c r="G44" s="10"/>
      <c r="H44" s="10"/>
      <c r="I44" s="10"/>
      <c r="J44" s="10"/>
      <c r="K44" s="10"/>
      <c r="L44" s="10"/>
      <c r="M44" s="10"/>
      <c r="N44" s="10"/>
      <c r="O44" s="10"/>
      <c r="P44" s="10"/>
    </row>
    <row r="45" spans="2:27" ht="25.15" customHeight="1">
      <c r="C45" s="10"/>
      <c r="D45" s="10"/>
      <c r="E45" s="10"/>
      <c r="F45" s="10"/>
      <c r="G45" s="10"/>
      <c r="H45" s="10"/>
      <c r="I45" s="10"/>
      <c r="J45" s="10"/>
      <c r="K45" s="10"/>
      <c r="L45" s="10"/>
      <c r="M45" s="10"/>
      <c r="N45" s="10"/>
      <c r="O45" s="10"/>
      <c r="P45" s="10"/>
    </row>
    <row r="46" spans="2:27" ht="25.15" customHeight="1">
      <c r="C46" s="10"/>
      <c r="D46" s="10"/>
      <c r="E46" s="10"/>
      <c r="F46" s="10"/>
      <c r="G46" s="10"/>
      <c r="H46" s="10"/>
      <c r="I46" s="10"/>
      <c r="J46" s="10"/>
      <c r="K46" s="10"/>
      <c r="L46" s="10"/>
      <c r="M46" s="10"/>
      <c r="N46" s="10"/>
      <c r="O46" s="10"/>
      <c r="P46" s="10"/>
    </row>
    <row r="47" spans="2:27" ht="25.15" customHeight="1">
      <c r="C47" s="10"/>
      <c r="D47" s="10"/>
      <c r="E47" s="10"/>
      <c r="F47" s="10"/>
      <c r="G47" s="10"/>
      <c r="H47" s="10"/>
      <c r="I47" s="10"/>
      <c r="J47" s="10"/>
      <c r="K47" s="10"/>
      <c r="L47" s="10"/>
      <c r="M47" s="10"/>
      <c r="N47" s="10"/>
      <c r="O47" s="10"/>
      <c r="P47" s="10"/>
    </row>
    <row r="48" spans="2:27" ht="25.15" customHeight="1">
      <c r="C48" s="10"/>
      <c r="D48" s="10"/>
      <c r="E48" s="10"/>
      <c r="F48" s="10"/>
      <c r="G48" s="10"/>
      <c r="H48" s="10"/>
      <c r="I48" s="10"/>
      <c r="J48" s="10"/>
      <c r="K48" s="10"/>
      <c r="L48" s="10"/>
      <c r="M48" s="10"/>
      <c r="N48" s="10"/>
      <c r="O48" s="10"/>
      <c r="P48" s="10"/>
    </row>
    <row r="49" spans="3:16" ht="25.15" customHeight="1">
      <c r="C49" s="10"/>
      <c r="D49" s="10"/>
      <c r="E49" s="10"/>
      <c r="F49" s="10"/>
      <c r="G49" s="10"/>
      <c r="H49" s="10"/>
      <c r="I49" s="10"/>
      <c r="J49" s="10"/>
      <c r="K49" s="10"/>
      <c r="L49" s="10"/>
      <c r="M49" s="10"/>
      <c r="N49" s="10"/>
      <c r="O49" s="10"/>
      <c r="P49" s="10"/>
    </row>
    <row r="50" spans="3:16" ht="25.15" customHeight="1">
      <c r="C50" s="10"/>
      <c r="D50" s="10"/>
      <c r="E50" s="10"/>
      <c r="F50" s="10"/>
      <c r="G50" s="10"/>
      <c r="H50" s="10"/>
      <c r="I50" s="10"/>
      <c r="J50" s="10"/>
      <c r="K50" s="10"/>
      <c r="L50" s="10"/>
      <c r="M50" s="10"/>
      <c r="N50" s="10"/>
      <c r="O50" s="10"/>
      <c r="P50" s="10"/>
    </row>
    <row r="51" spans="3:16" ht="25.15" customHeight="1">
      <c r="C51" s="502"/>
      <c r="D51" s="10"/>
      <c r="E51" s="10"/>
      <c r="F51" s="10"/>
      <c r="G51" s="10"/>
      <c r="H51" s="10"/>
      <c r="I51" s="10"/>
      <c r="J51" s="10"/>
      <c r="K51" s="10"/>
      <c r="L51" s="10"/>
      <c r="M51" s="10"/>
      <c r="N51" s="10"/>
      <c r="O51" s="10"/>
      <c r="P51" s="10"/>
    </row>
    <row r="166" spans="2:28" s="22" customFormat="1" ht="25.15" customHeight="1">
      <c r="B166" s="2" t="s">
        <v>152</v>
      </c>
      <c r="Q166" s="35"/>
      <c r="R166" s="2"/>
      <c r="S166" s="2"/>
      <c r="T166" s="2"/>
      <c r="U166" s="2"/>
      <c r="V166" s="2"/>
      <c r="W166" s="2"/>
      <c r="X166" s="2"/>
      <c r="Y166" s="2"/>
      <c r="Z166" s="2"/>
      <c r="AA166" s="2"/>
      <c r="AB166" s="2"/>
    </row>
    <row r="185" spans="2:28" s="22" customFormat="1" ht="25.15" customHeight="1">
      <c r="B185" s="2" t="s">
        <v>152</v>
      </c>
      <c r="Q185" s="35"/>
      <c r="R185" s="2"/>
      <c r="S185" s="2"/>
      <c r="T185" s="2"/>
      <c r="U185" s="2"/>
      <c r="V185" s="2"/>
      <c r="W185" s="2"/>
      <c r="X185" s="2"/>
      <c r="Y185" s="2"/>
      <c r="Z185" s="2"/>
      <c r="AA185" s="2"/>
      <c r="AB185" s="2"/>
    </row>
  </sheetData>
  <mergeCells count="6">
    <mergeCell ref="B27:Q27"/>
    <mergeCell ref="B2:Q2"/>
    <mergeCell ref="B3:Q3"/>
    <mergeCell ref="B12:Q12"/>
    <mergeCell ref="B13:Q13"/>
    <mergeCell ref="B26:Q26"/>
  </mergeCells>
  <conditionalFormatting sqref="A1:XFD1048576">
    <cfRule type="containsText" dxfId="0" priority="1" operator="containsText" text="true">
      <formula>NOT(ISERROR(SEARCH("true",A1)))</formula>
    </cfRule>
  </conditionalFormatting>
  <printOptions horizontalCentered="1" verticalCentered="1"/>
  <pageMargins left="0" right="0" top="0" bottom="0" header="0" footer="0"/>
  <pageSetup paperSize="8" scale="56" fitToHeight="0" orientation="landscape" verticalDpi="300" r:id="rId1"/>
  <headerFooter alignWithMargins="0"/>
  <rowBreaks count="2" manualBreakCount="2">
    <brk id="10" max="29" man="1"/>
    <brk id="22" max="29"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23919893D59A448A21D643BB803FF7" ma:contentTypeVersion="7" ma:contentTypeDescription="Create a new document." ma:contentTypeScope="" ma:versionID="6ed8bc79774c28f6065bbdea525ab958">
  <xsd:schema xmlns:xsd="http://www.w3.org/2001/XMLSchema" xmlns:xs="http://www.w3.org/2001/XMLSchema" xmlns:p="http://schemas.microsoft.com/office/2006/metadata/properties" xmlns:ns1="http://schemas.microsoft.com/sharepoint/v3" xmlns:ns2="11e98399-6018-44a8-ab8a-19bd2caf1874" xmlns:ns3="b4dd0e67-5d47-4f29-adcd-dd34f9893469" xmlns:ns4="7d8b1d95-6cab-466d-a31f-37c38b23f4ec" targetNamespace="http://schemas.microsoft.com/office/2006/metadata/properties" ma:root="true" ma:fieldsID="edcd2b7f8c7af01843adc9769c79abaf" ns1:_="" ns2:_="" ns3:_="" ns4:_="">
    <xsd:import namespace="http://schemas.microsoft.com/sharepoint/v3"/>
    <xsd:import namespace="11e98399-6018-44a8-ab8a-19bd2caf1874"/>
    <xsd:import namespace="b4dd0e67-5d47-4f29-adcd-dd34f9893469"/>
    <xsd:import namespace="7d8b1d95-6cab-466d-a31f-37c38b23f4ec"/>
    <xsd:element name="properties">
      <xsd:complexType>
        <xsd:sequence>
          <xsd:element name="documentManagement">
            <xsd:complexType>
              <xsd:all>
                <xsd:element ref="ns1:VariationsItemGroupID" minOccurs="0"/>
                <xsd:element ref="ns2:SharedWithUsers" minOccurs="0"/>
                <xsd:element ref="ns3:Information" minOccurs="0"/>
                <xsd:element ref="ns4:TaxKeywordTaxHTField"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VariationsItemGroupID" ma:index="8" nillable="true" ma:displayName="Item Group ID" ma:description="" ma:hidden="true" ma:internalName="VariationsItemGroupID">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e98399-6018-44a8-ab8a-19bd2caf1874"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4dd0e67-5d47-4f29-adcd-dd34f9893469" elementFormDefault="qualified">
    <xsd:import namespace="http://schemas.microsoft.com/office/2006/documentManagement/types"/>
    <xsd:import namespace="http://schemas.microsoft.com/office/infopath/2007/PartnerControls"/>
    <xsd:element name="Information" ma:index="10" nillable="true" ma:displayName="Information" ma:internalName="Informa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d8b1d95-6cab-466d-a31f-37c38b23f4ec" elementFormDefault="qualified">
    <xsd:import namespace="http://schemas.microsoft.com/office/2006/documentManagement/types"/>
    <xsd:import namespace="http://schemas.microsoft.com/office/infopath/2007/PartnerControls"/>
    <xsd:element name="TaxKeywordTaxHTField" ma:index="12" nillable="true" ma:taxonomy="true" ma:internalName="TaxKeywordTaxHTField" ma:taxonomyFieldName="TaxKeyword" ma:displayName="Enterprise Keywords" ma:fieldId="{23f27201-bee3-471e-b2e7-b64fd8b7ca38}" ma:taxonomyMulti="true" ma:sspId="e21b44b3-cc57-4f72-b2c0-1634d09cd0c9" ma:termSetId="00000000-0000-0000-0000-000000000000" ma:anchorId="00000000-0000-0000-0000-000000000000" ma:open="true" ma:isKeyword="true">
      <xsd:complexType>
        <xsd:sequence>
          <xsd:element ref="pc:Terms" minOccurs="0" maxOccurs="1"/>
        </xsd:sequence>
      </xsd:complexType>
    </xsd:element>
    <xsd:element name="TaxCatchAll" ma:index="13" nillable="true" ma:displayName="Taxonomy Catch All Column" ma:description="" ma:hidden="true" ma:list="{faa78393-2983-4a21-a413-4213ee9daa23}" ma:internalName="TaxCatchAll" ma:showField="CatchAllData" ma:web="7d8b1d95-6cab-466d-a31f-37c38b23f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VariationsItemGroupID xmlns="http://schemas.microsoft.com/sharepoint/v3">9088ba9f-9a6b-4ea6-b44b-641155024c8e</VariationsItemGroupID>
    <TaxKeywordTaxHTField xmlns="7d8b1d95-6cab-466d-a31f-37c38b23f4ec">
      <Terms xmlns="http://schemas.microsoft.com/office/infopath/2007/PartnerControls"/>
    </TaxKeywordTaxHTField>
    <Information xmlns="b4dd0e67-5d47-4f29-adcd-dd34f9893469" xsi:nil="true"/>
    <TaxCatchAll xmlns="7d8b1d95-6cab-466d-a31f-37c38b23f4ec"/>
  </documentManagement>
</p:properties>
</file>

<file path=customXml/itemProps1.xml><?xml version="1.0" encoding="utf-8"?>
<ds:datastoreItem xmlns:ds="http://schemas.openxmlformats.org/officeDocument/2006/customXml" ds:itemID="{3C5DE5C4-6BD3-4F28-ADE8-39061D369903}">
  <ds:schemaRefs>
    <ds:schemaRef ds:uri="http://schemas.microsoft.com/sharepoint/v3/contenttype/forms"/>
  </ds:schemaRefs>
</ds:datastoreItem>
</file>

<file path=customXml/itemProps2.xml><?xml version="1.0" encoding="utf-8"?>
<ds:datastoreItem xmlns:ds="http://schemas.openxmlformats.org/officeDocument/2006/customXml" ds:itemID="{B0FFC45C-97A5-4CD3-80BC-30AB9227C6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1e98399-6018-44a8-ab8a-19bd2caf1874"/>
    <ds:schemaRef ds:uri="b4dd0e67-5d47-4f29-adcd-dd34f9893469"/>
    <ds:schemaRef ds:uri="7d8b1d95-6cab-466d-a31f-37c38b23f4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2F2AFF-3251-45AF-B32C-DA3E8BF1FD4D}">
  <ds:schemaRefs>
    <ds:schemaRef ds:uri="http://www.w3.org/XML/1998/namespace"/>
    <ds:schemaRef ds:uri="http://schemas.microsoft.com/office/2006/metadata/properties"/>
    <ds:schemaRef ds:uri="7d8b1d95-6cab-466d-a31f-37c38b23f4ec"/>
    <ds:schemaRef ds:uri="http://schemas.microsoft.com/office/2006/documentManagement/types"/>
    <ds:schemaRef ds:uri="http://purl.org/dc/elements/1.1/"/>
    <ds:schemaRef ds:uri="b4dd0e67-5d47-4f29-adcd-dd34f9893469"/>
    <ds:schemaRef ds:uri="11e98399-6018-44a8-ab8a-19bd2caf1874"/>
    <ds:schemaRef ds:uri="http://schemas.microsoft.com/office/infopath/2007/PartnerControls"/>
    <ds:schemaRef ds:uri="http://schemas.openxmlformats.org/package/2006/metadata/core-properties"/>
    <ds:schemaRef ds:uri="http://schemas.microsoft.com/sharepoint/v3"/>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الفهرس Index</vt:lpstr>
      <vt:lpstr>البيانات الوصفيةMetadata</vt:lpstr>
      <vt:lpstr>1-4</vt:lpstr>
      <vt:lpstr>5-8</vt:lpstr>
      <vt:lpstr>9-12</vt:lpstr>
      <vt:lpstr>13-16</vt:lpstr>
      <vt:lpstr>17-24</vt:lpstr>
      <vt:lpstr>25-26</vt:lpstr>
      <vt:lpstr>27-28</vt:lpstr>
      <vt:lpstr>29-33</vt:lpstr>
      <vt:lpstr>34-36</vt:lpstr>
      <vt:lpstr>37-39</vt:lpstr>
      <vt:lpstr>'13-16'!Print_Area</vt:lpstr>
      <vt:lpstr>'1-4'!Print_Area</vt:lpstr>
      <vt:lpstr>'17-24'!Print_Area</vt:lpstr>
      <vt:lpstr>'25-26'!Print_Area</vt:lpstr>
      <vt:lpstr>'27-28'!Print_Area</vt:lpstr>
      <vt:lpstr>'29-33'!Print_Area</vt:lpstr>
      <vt:lpstr>'34-36'!Print_Area</vt:lpstr>
      <vt:lpstr>'37-39'!Print_Area</vt:lpstr>
      <vt:lpstr>'5-8'!Print_Area</vt:lpstr>
      <vt:lpstr>'9-12'!Print_Area</vt:lpstr>
      <vt:lpstr>'البيانات الوصفيةMetadata'!Print_Area</vt:lpstr>
      <vt:lpstr>'الفهرس Index'!Print_Area</vt:lpstr>
    </vt:vector>
  </TitlesOfParts>
  <Company>DOP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ashmawi</dc:creator>
  <cp:lastModifiedBy>Suha A Abudia</cp:lastModifiedBy>
  <cp:lastPrinted>2021-04-11T10:25:23Z</cp:lastPrinted>
  <dcterms:created xsi:type="dcterms:W3CDTF">2008-02-04T04:37:03Z</dcterms:created>
  <dcterms:modified xsi:type="dcterms:W3CDTF">2024-08-21T04:55:53Z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0x0101001B23919893D59A448A21D643BB803FF7</vt:lpwstr>
  </property>
  <property fmtid="{D5CDD505-2E9C-101B-9397-08002B2CF9AE}" pid="3" name="TaxKeyword">
    <vt:lpwstr/>
  </property>
</Properties>
</file>