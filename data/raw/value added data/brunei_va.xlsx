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niduede-my.sharepoint.com/personal/jakob_heibel_stud_uni-due_de/Documents/Thesis/Code/data/raw/value added data/"/>
    </mc:Choice>
  </mc:AlternateContent>
  <xr:revisionPtr revIDLastSave="25" documentId="13_ncr:1_{3644EA53-657F-4B16-9012-ADEE424FDE72}" xr6:coauthVersionLast="47" xr6:coauthVersionMax="47" xr10:uidLastSave="{1F7671F9-3237-44BD-A8FC-D896322028D4}"/>
  <bookViews>
    <workbookView xWindow="-110" yWindow="-110" windowWidth="19420" windowHeight="10300" xr2:uid="{00000000-000D-0000-FFFF-FFFF00000000}"/>
  </bookViews>
  <sheets>
    <sheet name="own_calculation" sheetId="9" r:id="rId1"/>
    <sheet name="2000-2009" sheetId="7" r:id="rId2"/>
    <sheet name="1974-1999" sheetId="8" r:id="rId3"/>
    <sheet name="2010-2023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7" l="1"/>
  <c r="D41" i="7"/>
  <c r="E41" i="7"/>
  <c r="F41" i="7"/>
  <c r="G41" i="7"/>
  <c r="H41" i="7"/>
  <c r="I41" i="7"/>
  <c r="J41" i="7"/>
  <c r="K41" i="7"/>
  <c r="B41" i="7"/>
  <c r="B40" i="7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B45" i="6"/>
  <c r="C40" i="7"/>
  <c r="D40" i="7"/>
  <c r="E40" i="7"/>
  <c r="F40" i="7"/>
  <c r="G40" i="7"/>
  <c r="H40" i="7"/>
  <c r="I40" i="7"/>
  <c r="J40" i="7"/>
  <c r="K40" i="7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M23" i="8"/>
</calcChain>
</file>

<file path=xl/sharedStrings.xml><?xml version="1.0" encoding="utf-8"?>
<sst xmlns="http://schemas.openxmlformats.org/spreadsheetml/2006/main" count="174" uniqueCount="64">
  <si>
    <t>Industry</t>
  </si>
  <si>
    <t>Forestry</t>
  </si>
  <si>
    <t>Fishery</t>
  </si>
  <si>
    <t>Construction</t>
  </si>
  <si>
    <t>Communication</t>
  </si>
  <si>
    <t>Finance</t>
  </si>
  <si>
    <t>Gross value added at basic prices</t>
  </si>
  <si>
    <t>Percentage</t>
  </si>
  <si>
    <t>Agriculture, Forestry and Fishery Sector</t>
  </si>
  <si>
    <t>Industry Sector</t>
  </si>
  <si>
    <t>Services Sector</t>
  </si>
  <si>
    <t>Electricity and Water</t>
  </si>
  <si>
    <t>Wholesale and Retail Trade</t>
  </si>
  <si>
    <t>Real Estate and Ownership of Dwellings</t>
  </si>
  <si>
    <t>Vegetable, Fruits and Other Agriculture</t>
  </si>
  <si>
    <t>Oil and Gas Mining</t>
  </si>
  <si>
    <t>Manufacture of Liquefied Natural Gas and other petroleum and chemical products</t>
  </si>
  <si>
    <t>Manufacture of Wearing Apparel and Textile</t>
  </si>
  <si>
    <t>Manufacture of Food and Beverage Products</t>
  </si>
  <si>
    <t>Other Manufacturing</t>
  </si>
  <si>
    <t>Other Private Services</t>
  </si>
  <si>
    <t>Domestic Services</t>
  </si>
  <si>
    <t>Business Services</t>
  </si>
  <si>
    <t>Education Services</t>
  </si>
  <si>
    <t>Health Services</t>
  </si>
  <si>
    <t>Restaurants</t>
  </si>
  <si>
    <t xml:space="preserve">Hotels </t>
  </si>
  <si>
    <t>Other Transport Services</t>
  </si>
  <si>
    <t>Air Transport</t>
  </si>
  <si>
    <t>Water Transport</t>
  </si>
  <si>
    <t>Land Transport</t>
  </si>
  <si>
    <t>Government Services / Public Administration</t>
  </si>
  <si>
    <t>Livestock and Poultry</t>
  </si>
  <si>
    <t>Oil Sector</t>
  </si>
  <si>
    <t>Manufacture of Liquefied Natural Gas (LNG)</t>
  </si>
  <si>
    <t>Non-Oil Sector</t>
  </si>
  <si>
    <t>Agriculture, forestry &amp; fishery</t>
  </si>
  <si>
    <t>Non-oil manufacturing</t>
  </si>
  <si>
    <t xml:space="preserve">Transport &amp; Communication </t>
  </si>
  <si>
    <t xml:space="preserve">Trade </t>
  </si>
  <si>
    <t xml:space="preserve">Finance </t>
  </si>
  <si>
    <t>Real Estate &amp; Ownership of Dwellings</t>
  </si>
  <si>
    <t xml:space="preserve">Private Services </t>
  </si>
  <si>
    <t>Government Services</t>
  </si>
  <si>
    <t>Vegetables, Fruits &amp; Other Agriculture</t>
  </si>
  <si>
    <t>Manufacture of Wearing Apparel &amp; Textile</t>
  </si>
  <si>
    <t>Hotels &amp; Restaurants</t>
  </si>
  <si>
    <t>Private Health and Education Services</t>
  </si>
  <si>
    <t>-</t>
  </si>
  <si>
    <t>Yearly - Share in Gross Value Added by Kind of Economic Activity at Current Prices</t>
  </si>
  <si>
    <t xml:space="preserve">Source : </t>
  </si>
  <si>
    <t xml:space="preserve"> - Department of Economic Planning and Statistics, Ministry of Finance and Economy</t>
  </si>
  <si>
    <t>Note:</t>
  </si>
  <si>
    <t xml:space="preserve"> - Base Year (2010 = 100)</t>
  </si>
  <si>
    <t xml:space="preserve"> - Total  may not tally due to rounding</t>
  </si>
  <si>
    <t>ISO</t>
  </si>
  <si>
    <t>Year</t>
  </si>
  <si>
    <t>finance_share_VA</t>
  </si>
  <si>
    <t>manufacturing_share_VA</t>
  </si>
  <si>
    <t>mining_share_VA</t>
  </si>
  <si>
    <t>BRN</t>
  </si>
  <si>
    <t>manufacturing</t>
  </si>
  <si>
    <t>agriculture</t>
  </si>
  <si>
    <t>agric_share_VA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</si>
</sst>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0.0"/>
    <numFmt numFmtId="167" formatCode="0.00_);\(0.0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u/>
      <sz val="12"/>
      <color theme="1"/>
      <name val="Arial"/>
      <family val="2"/>
    </font>
    <font>
      <sz val="12"/>
      <name val="Arial"/>
      <family val="2"/>
    </font>
    <font>
      <b/>
      <sz val="12"/>
      <color theme="1" tint="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indent="1"/>
    </xf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right"/>
    </xf>
    <xf numFmtId="165" fontId="4" fillId="0" borderId="1" xfId="1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65" fontId="6" fillId="0" borderId="1" xfId="1" applyNumberFormat="1" applyFont="1" applyFill="1" applyBorder="1"/>
    <xf numFmtId="165" fontId="4" fillId="0" borderId="1" xfId="1" applyNumberFormat="1" applyFont="1" applyFill="1" applyBorder="1"/>
    <xf numFmtId="165" fontId="6" fillId="0" borderId="1" xfId="1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 vertical="top" wrapText="1" indent="1"/>
    </xf>
    <xf numFmtId="167" fontId="3" fillId="2" borderId="1" xfId="0" applyNumberFormat="1" applyFont="1" applyFill="1" applyBorder="1" applyAlignment="1">
      <alignment horizontal="left" vertical="top" wrapText="1" indent="1"/>
    </xf>
    <xf numFmtId="1" fontId="4" fillId="0" borderId="1" xfId="0" applyNumberFormat="1" applyFont="1" applyBorder="1" applyAlignment="1">
      <alignment horizontal="center"/>
    </xf>
    <xf numFmtId="0" fontId="2" fillId="0" borderId="1" xfId="3" applyFont="1" applyBorder="1" applyAlignment="1">
      <alignment vertical="center"/>
    </xf>
    <xf numFmtId="1" fontId="4" fillId="0" borderId="1" xfId="3" applyNumberFormat="1" applyFont="1" applyBorder="1" applyAlignment="1">
      <alignment horizontal="center"/>
    </xf>
    <xf numFmtId="0" fontId="3" fillId="0" borderId="0" xfId="3" applyFont="1"/>
    <xf numFmtId="165" fontId="4" fillId="0" borderId="1" xfId="2" applyNumberFormat="1" applyFont="1" applyFill="1" applyBorder="1" applyAlignment="1">
      <alignment horizontal="right" vertical="top"/>
    </xf>
    <xf numFmtId="0" fontId="3" fillId="0" borderId="1" xfId="3" applyFont="1" applyBorder="1" applyAlignment="1">
      <alignment horizontal="justify" vertical="top"/>
    </xf>
    <xf numFmtId="165" fontId="3" fillId="0" borderId="1" xfId="2" applyNumberFormat="1" applyFont="1" applyFill="1" applyBorder="1"/>
    <xf numFmtId="165" fontId="2" fillId="0" borderId="1" xfId="2" applyNumberFormat="1" applyFont="1" applyFill="1" applyBorder="1"/>
    <xf numFmtId="0" fontId="3" fillId="0" borderId="1" xfId="3" applyFont="1" applyBorder="1" applyAlignment="1">
      <alignment horizontal="left" vertical="top" wrapText="1"/>
    </xf>
    <xf numFmtId="165" fontId="3" fillId="0" borderId="1" xfId="2" applyNumberFormat="1" applyFont="1" applyFill="1" applyBorder="1" applyAlignment="1">
      <alignment vertical="top"/>
    </xf>
    <xf numFmtId="0" fontId="3" fillId="0" borderId="1" xfId="3" applyFont="1" applyBorder="1" applyAlignment="1">
      <alignment vertical="center"/>
    </xf>
    <xf numFmtId="0" fontId="2" fillId="0" borderId="1" xfId="3" applyFont="1" applyBorder="1" applyAlignment="1">
      <alignment vertical="top"/>
    </xf>
    <xf numFmtId="165" fontId="7" fillId="0" borderId="1" xfId="2" applyNumberFormat="1" applyFont="1" applyFill="1" applyBorder="1"/>
    <xf numFmtId="1" fontId="4" fillId="0" borderId="0" xfId="3" applyNumberFormat="1" applyFont="1" applyAlignment="1">
      <alignment horizontal="center"/>
    </xf>
    <xf numFmtId="165" fontId="4" fillId="0" borderId="0" xfId="2" applyNumberFormat="1" applyFont="1" applyFill="1" applyBorder="1" applyAlignment="1">
      <alignment horizontal="right" vertical="top"/>
    </xf>
    <xf numFmtId="165" fontId="3" fillId="0" borderId="0" xfId="2" applyNumberFormat="1" applyFont="1" applyFill="1" applyBorder="1"/>
    <xf numFmtId="165" fontId="2" fillId="0" borderId="0" xfId="2" applyNumberFormat="1" applyFont="1" applyFill="1" applyBorder="1"/>
    <xf numFmtId="165" fontId="3" fillId="0" borderId="0" xfId="2" applyNumberFormat="1" applyFont="1" applyFill="1" applyBorder="1" applyAlignment="1">
      <alignment vertical="top"/>
    </xf>
    <xf numFmtId="165" fontId="7" fillId="0" borderId="0" xfId="2" applyNumberFormat="1" applyFont="1" applyFill="1" applyBorder="1"/>
    <xf numFmtId="165" fontId="3" fillId="0" borderId="0" xfId="0" applyNumberFormat="1" applyFont="1"/>
    <xf numFmtId="166" fontId="3" fillId="0" borderId="0" xfId="0" applyNumberFormat="1" applyFont="1"/>
    <xf numFmtId="165" fontId="6" fillId="0" borderId="0" xfId="1" applyNumberFormat="1" applyFont="1" applyFill="1" applyBorder="1"/>
  </cellXfs>
  <cellStyles count="4">
    <cellStyle name="Comma 2" xfId="2" xr:uid="{00000000-0005-0000-0000-000001000000}"/>
    <cellStyle name="Komma" xfId="1" builtinId="3"/>
    <cellStyle name="Normal 2" xfId="3" xr:uid="{00000000-0005-0000-0000-000003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2F30-6C17-49D6-853C-AC598F78F457}">
  <dimension ref="A1:F51"/>
  <sheetViews>
    <sheetView tabSelected="1" zoomScale="70" zoomScaleNormal="70" workbookViewId="0">
      <selection activeCell="I17" sqref="I17"/>
    </sheetView>
  </sheetViews>
  <sheetFormatPr baseColWidth="10" defaultRowHeight="14.5" x14ac:dyDescent="0.35"/>
  <cols>
    <col min="3" max="3" width="15.90625" bestFit="1" customWidth="1"/>
    <col min="4" max="4" width="22.08984375" bestFit="1" customWidth="1"/>
    <col min="5" max="5" width="15.36328125" bestFit="1" customWidth="1"/>
  </cols>
  <sheetData>
    <row r="1" spans="1:6" x14ac:dyDescent="0.3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63</v>
      </c>
    </row>
    <row r="2" spans="1:6" ht="15.5" x14ac:dyDescent="0.35">
      <c r="A2" t="s">
        <v>60</v>
      </c>
      <c r="B2">
        <v>1974</v>
      </c>
      <c r="C2" s="30">
        <v>0.12745648718155012</v>
      </c>
      <c r="F2">
        <v>0.1777044821920174</v>
      </c>
    </row>
    <row r="3" spans="1:6" ht="15.5" x14ac:dyDescent="0.35">
      <c r="A3" t="s">
        <v>60</v>
      </c>
      <c r="B3">
        <v>1975</v>
      </c>
      <c r="C3" s="30">
        <v>0.24100501988236359</v>
      </c>
      <c r="F3">
        <v>0.20295277280204077</v>
      </c>
    </row>
    <row r="4" spans="1:6" ht="15.5" x14ac:dyDescent="0.35">
      <c r="A4" t="s">
        <v>60</v>
      </c>
      <c r="B4">
        <v>1976</v>
      </c>
      <c r="C4" s="30">
        <v>0.20151973151548971</v>
      </c>
      <c r="F4">
        <v>0.15750140325718365</v>
      </c>
    </row>
    <row r="5" spans="1:6" ht="15.5" x14ac:dyDescent="0.35">
      <c r="A5" t="s">
        <v>60</v>
      </c>
      <c r="B5">
        <v>1977</v>
      </c>
      <c r="C5" s="30">
        <v>0.25815313315609545</v>
      </c>
      <c r="F5">
        <v>0.1375205487147525</v>
      </c>
    </row>
    <row r="6" spans="1:6" ht="15.5" x14ac:dyDescent="0.35">
      <c r="A6" t="s">
        <v>60</v>
      </c>
      <c r="B6">
        <v>1978</v>
      </c>
      <c r="C6" s="30">
        <v>0.2571359405612062</v>
      </c>
      <c r="F6">
        <v>0.13894801757315656</v>
      </c>
    </row>
    <row r="7" spans="1:6" ht="15.5" x14ac:dyDescent="0.35">
      <c r="A7" t="s">
        <v>60</v>
      </c>
      <c r="B7">
        <v>1979</v>
      </c>
      <c r="C7" s="30">
        <v>0.24489498064048329</v>
      </c>
      <c r="F7">
        <v>9.8550086539981221E-2</v>
      </c>
    </row>
    <row r="8" spans="1:6" ht="15.5" x14ac:dyDescent="0.35">
      <c r="A8" t="s">
        <v>60</v>
      </c>
      <c r="B8">
        <v>1980</v>
      </c>
      <c r="C8" s="30">
        <v>0.10951192083530634</v>
      </c>
      <c r="F8">
        <v>5.2211002492982155E-2</v>
      </c>
    </row>
    <row r="9" spans="1:6" ht="15.5" x14ac:dyDescent="0.35">
      <c r="A9" t="s">
        <v>60</v>
      </c>
      <c r="B9">
        <v>1981</v>
      </c>
      <c r="C9" s="30">
        <v>0.24290216234905213</v>
      </c>
      <c r="F9">
        <v>7.0276380737459163E-2</v>
      </c>
    </row>
    <row r="10" spans="1:6" ht="15.5" x14ac:dyDescent="0.35">
      <c r="A10" t="s">
        <v>60</v>
      </c>
      <c r="B10">
        <v>1982</v>
      </c>
      <c r="C10" s="30">
        <v>0.34335298063410241</v>
      </c>
      <c r="F10">
        <v>0.11199372455328535</v>
      </c>
    </row>
    <row r="11" spans="1:6" ht="15.5" x14ac:dyDescent="0.35">
      <c r="A11" t="s">
        <v>60</v>
      </c>
      <c r="B11">
        <v>1983</v>
      </c>
      <c r="C11" s="30">
        <v>0.41609185751329797</v>
      </c>
      <c r="F11">
        <v>0.13667556347973958</v>
      </c>
    </row>
    <row r="12" spans="1:6" ht="15.5" x14ac:dyDescent="0.35">
      <c r="A12" t="s">
        <v>60</v>
      </c>
      <c r="B12">
        <v>1984</v>
      </c>
      <c r="C12" s="30">
        <v>0.42527714668426814</v>
      </c>
      <c r="F12">
        <v>0.13878813632108303</v>
      </c>
    </row>
    <row r="13" spans="1:6" ht="15.5" x14ac:dyDescent="0.35">
      <c r="A13" t="s">
        <v>60</v>
      </c>
      <c r="B13">
        <v>1985</v>
      </c>
      <c r="C13" s="30">
        <v>0.50905155703253613</v>
      </c>
      <c r="D13">
        <v>18.921695705952754</v>
      </c>
      <c r="E13" s="30">
        <v>70.611497966811115</v>
      </c>
      <c r="F13">
        <v>0.16581034342780313</v>
      </c>
    </row>
    <row r="14" spans="1:6" ht="15.5" x14ac:dyDescent="0.35">
      <c r="A14" t="s">
        <v>60</v>
      </c>
      <c r="B14">
        <v>1986</v>
      </c>
      <c r="C14" s="30">
        <v>1.2040871760537737</v>
      </c>
      <c r="D14">
        <v>24.604255360630315</v>
      </c>
      <c r="E14" s="30">
        <v>54.934875598876722</v>
      </c>
      <c r="F14">
        <v>0.33954626823063205</v>
      </c>
    </row>
    <row r="15" spans="1:6" ht="15.5" x14ac:dyDescent="0.35">
      <c r="A15" t="s">
        <v>60</v>
      </c>
      <c r="B15">
        <v>1987</v>
      </c>
      <c r="C15" s="30">
        <v>1.1622018278701878</v>
      </c>
      <c r="D15">
        <v>18.952332107456694</v>
      </c>
      <c r="E15" s="30">
        <v>60.82775363533284</v>
      </c>
      <c r="F15">
        <v>0.38365848934961605</v>
      </c>
    </row>
    <row r="16" spans="1:6" ht="15.5" x14ac:dyDescent="0.35">
      <c r="A16" t="s">
        <v>60</v>
      </c>
      <c r="B16">
        <v>1988</v>
      </c>
      <c r="C16" s="30">
        <v>1.582678072463519</v>
      </c>
      <c r="D16">
        <v>21.237092616929232</v>
      </c>
      <c r="E16" s="30">
        <v>52.565364649974036</v>
      </c>
      <c r="F16">
        <v>0.51482012545353695</v>
      </c>
    </row>
    <row r="17" spans="1:6" ht="15.5" x14ac:dyDescent="0.35">
      <c r="A17" t="s">
        <v>60</v>
      </c>
      <c r="B17">
        <v>1989</v>
      </c>
      <c r="C17" s="30">
        <v>1.8266922142677517</v>
      </c>
      <c r="D17">
        <v>17.870770473366321</v>
      </c>
      <c r="E17" s="30">
        <v>54.112723900643054</v>
      </c>
      <c r="F17">
        <v>0.56369186063754251</v>
      </c>
    </row>
    <row r="18" spans="1:6" ht="15.5" x14ac:dyDescent="0.35">
      <c r="A18" t="s">
        <v>60</v>
      </c>
      <c r="B18">
        <v>1990</v>
      </c>
      <c r="C18" s="30">
        <v>1.9833949875105406</v>
      </c>
      <c r="D18">
        <v>15.779915931750024</v>
      </c>
      <c r="E18" s="30">
        <v>57.229565791665408</v>
      </c>
      <c r="F18">
        <v>0.55975001097401711</v>
      </c>
    </row>
    <row r="19" spans="1:6" ht="15.5" x14ac:dyDescent="0.35">
      <c r="A19" t="s">
        <v>60</v>
      </c>
      <c r="B19">
        <v>1991</v>
      </c>
      <c r="C19" s="30">
        <v>1.9541798681787075</v>
      </c>
      <c r="D19">
        <v>17.667648432160178</v>
      </c>
      <c r="E19" s="30">
        <v>53.093181261868253</v>
      </c>
      <c r="F19">
        <v>0.57494016219493316</v>
      </c>
    </row>
    <row r="20" spans="1:6" ht="15.5" x14ac:dyDescent="0.35">
      <c r="A20" t="s">
        <v>60</v>
      </c>
      <c r="B20">
        <v>1992</v>
      </c>
      <c r="C20" s="30">
        <v>2.1644253872491706</v>
      </c>
      <c r="D20">
        <v>17.553520974846961</v>
      </c>
      <c r="E20" s="30">
        <v>48.784052808526795</v>
      </c>
      <c r="F20">
        <v>0.62233787277659736</v>
      </c>
    </row>
    <row r="21" spans="1:6" ht="15.5" x14ac:dyDescent="0.35">
      <c r="A21" t="s">
        <v>60</v>
      </c>
      <c r="B21">
        <v>1993</v>
      </c>
      <c r="C21" s="30">
        <v>2.4072299438807385</v>
      </c>
      <c r="D21">
        <v>17.174420169838687</v>
      </c>
      <c r="E21" s="30">
        <v>45.53706410860925</v>
      </c>
      <c r="F21">
        <v>0.71477707911572164</v>
      </c>
    </row>
    <row r="22" spans="1:6" ht="15.5" x14ac:dyDescent="0.35">
      <c r="A22" t="s">
        <v>60</v>
      </c>
      <c r="B22">
        <v>1994</v>
      </c>
      <c r="C22" s="30">
        <v>2.8405684548839032</v>
      </c>
      <c r="D22">
        <v>16.918066900874297</v>
      </c>
      <c r="E22" s="30">
        <v>42.002803045905509</v>
      </c>
      <c r="F22">
        <v>0.8197594044516251</v>
      </c>
    </row>
    <row r="23" spans="1:6" ht="15.5" x14ac:dyDescent="0.35">
      <c r="A23" t="s">
        <v>60</v>
      </c>
      <c r="B23">
        <v>1995</v>
      </c>
      <c r="C23" s="30">
        <v>2.5031851195472266</v>
      </c>
      <c r="D23">
        <v>19.651158232846498</v>
      </c>
      <c r="E23" s="30">
        <v>40.577949883507891</v>
      </c>
      <c r="F23">
        <v>0.69164072898362894</v>
      </c>
    </row>
    <row r="24" spans="1:6" ht="15.5" x14ac:dyDescent="0.35">
      <c r="A24" t="s">
        <v>60</v>
      </c>
      <c r="B24">
        <v>1996</v>
      </c>
      <c r="C24" s="30">
        <v>3.5994414427364791</v>
      </c>
      <c r="D24">
        <v>17.439880907316532</v>
      </c>
      <c r="E24" s="30">
        <v>39.672885710044994</v>
      </c>
      <c r="F24">
        <v>0.8509543874579405</v>
      </c>
    </row>
    <row r="25" spans="1:6" ht="15.5" x14ac:dyDescent="0.35">
      <c r="A25" t="s">
        <v>60</v>
      </c>
      <c r="B25">
        <v>1997</v>
      </c>
      <c r="C25" s="30">
        <v>3.3608811841102773</v>
      </c>
      <c r="D25">
        <v>21.550195339549632</v>
      </c>
      <c r="E25" s="30">
        <v>39.295512392279576</v>
      </c>
      <c r="F25">
        <v>0.91273307473425069</v>
      </c>
    </row>
    <row r="26" spans="1:6" ht="15.5" x14ac:dyDescent="0.35">
      <c r="A26" t="s">
        <v>60</v>
      </c>
      <c r="B26">
        <v>1998</v>
      </c>
      <c r="C26" s="30">
        <v>4.0506035745636177</v>
      </c>
      <c r="D26">
        <v>19.121020537691965</v>
      </c>
      <c r="E26" s="30">
        <v>34.896201503234423</v>
      </c>
      <c r="F26">
        <v>1.0986216103992013</v>
      </c>
    </row>
    <row r="27" spans="1:6" ht="15.5" x14ac:dyDescent="0.35">
      <c r="A27" t="s">
        <v>60</v>
      </c>
      <c r="B27">
        <v>1999</v>
      </c>
      <c r="C27" s="30">
        <v>3.9507247454843202</v>
      </c>
      <c r="D27">
        <v>17.517863122412514</v>
      </c>
      <c r="E27" s="30">
        <v>41.802261478666999</v>
      </c>
      <c r="F27">
        <v>1.0460747147555276</v>
      </c>
    </row>
    <row r="28" spans="1:6" ht="15.5" x14ac:dyDescent="0.35">
      <c r="A28" t="s">
        <v>60</v>
      </c>
      <c r="B28">
        <v>2000</v>
      </c>
      <c r="C28" s="30">
        <v>3.6398541588166777</v>
      </c>
      <c r="D28">
        <v>17.991283904202845</v>
      </c>
      <c r="E28" s="30">
        <v>44.701365879525831</v>
      </c>
      <c r="F28">
        <v>1.0489678651646199</v>
      </c>
    </row>
    <row r="29" spans="1:6" ht="15.5" x14ac:dyDescent="0.35">
      <c r="A29" t="s">
        <v>60</v>
      </c>
      <c r="B29">
        <v>2001</v>
      </c>
      <c r="C29" s="30">
        <v>4.0689756549582476</v>
      </c>
      <c r="D29">
        <v>18.552627164209575</v>
      </c>
      <c r="E29" s="30">
        <v>40.239639045773465</v>
      </c>
      <c r="F29">
        <v>1.1661556717799284</v>
      </c>
    </row>
    <row r="30" spans="1:6" ht="15.5" x14ac:dyDescent="0.35">
      <c r="A30" t="s">
        <v>60</v>
      </c>
      <c r="B30">
        <v>2002</v>
      </c>
      <c r="C30" s="30">
        <v>3.9691206633163376</v>
      </c>
      <c r="D30">
        <v>18.099464883818893</v>
      </c>
      <c r="E30" s="30">
        <v>40.825841512511047</v>
      </c>
      <c r="F30">
        <v>1.1330776349285532</v>
      </c>
    </row>
    <row r="31" spans="1:6" ht="15.5" x14ac:dyDescent="0.35">
      <c r="A31" t="s">
        <v>60</v>
      </c>
      <c r="B31">
        <v>2003</v>
      </c>
      <c r="C31" s="30">
        <v>3.6333866100807022</v>
      </c>
      <c r="D31">
        <v>17.848956287382997</v>
      </c>
      <c r="E31" s="30">
        <v>44.593391008515404</v>
      </c>
      <c r="F31">
        <v>1.2143112886059468</v>
      </c>
    </row>
    <row r="32" spans="1:6" ht="15.5" x14ac:dyDescent="0.35">
      <c r="A32" t="s">
        <v>60</v>
      </c>
      <c r="B32">
        <v>2004</v>
      </c>
      <c r="C32" s="30">
        <v>3.2930584470124526</v>
      </c>
      <c r="D32">
        <v>15.668721004322945</v>
      </c>
      <c r="E32" s="30">
        <v>50.73647577037007</v>
      </c>
      <c r="F32">
        <v>1.1487857625455327</v>
      </c>
    </row>
    <row r="33" spans="1:6" ht="15.5" x14ac:dyDescent="0.35">
      <c r="A33" t="s">
        <v>60</v>
      </c>
      <c r="B33">
        <v>2005</v>
      </c>
      <c r="C33" s="30">
        <v>3.4379618144853388</v>
      </c>
      <c r="D33">
        <v>14.269047522378713</v>
      </c>
      <c r="E33" s="30">
        <v>55.38021879739096</v>
      </c>
      <c r="F33">
        <v>0.95653495611084649</v>
      </c>
    </row>
    <row r="34" spans="1:6" ht="15.5" x14ac:dyDescent="0.35">
      <c r="A34" t="s">
        <v>60</v>
      </c>
      <c r="B34">
        <v>2006</v>
      </c>
      <c r="C34" s="30">
        <v>3.5157779397015645</v>
      </c>
      <c r="D34">
        <v>12.568426695045773</v>
      </c>
      <c r="E34" s="30">
        <v>58.75703887769366</v>
      </c>
      <c r="F34">
        <v>0.74074427803520271</v>
      </c>
    </row>
    <row r="35" spans="1:6" ht="15.5" x14ac:dyDescent="0.35">
      <c r="A35" t="s">
        <v>60</v>
      </c>
      <c r="B35">
        <v>2007</v>
      </c>
      <c r="C35" s="30">
        <v>3.6551101012469824</v>
      </c>
      <c r="D35">
        <v>12.406566086209683</v>
      </c>
      <c r="E35" s="30">
        <v>57.423873876912459</v>
      </c>
      <c r="F35">
        <v>0.71287109570605423</v>
      </c>
    </row>
    <row r="36" spans="1:6" ht="15.5" x14ac:dyDescent="0.35">
      <c r="A36" t="s">
        <v>60</v>
      </c>
      <c r="B36">
        <v>2008</v>
      </c>
      <c r="C36" s="30">
        <v>3.3585857154853063</v>
      </c>
      <c r="D36">
        <v>16.319229613904092</v>
      </c>
      <c r="E36" s="30">
        <v>56.69236911864062</v>
      </c>
      <c r="F36">
        <v>0.67932859758679853</v>
      </c>
    </row>
    <row r="37" spans="1:6" ht="15.5" x14ac:dyDescent="0.35">
      <c r="A37" t="s">
        <v>60</v>
      </c>
      <c r="B37">
        <v>2009</v>
      </c>
      <c r="C37" s="30">
        <v>4.2316413569418625</v>
      </c>
      <c r="D37">
        <v>16.707333010635217</v>
      </c>
      <c r="E37" s="30">
        <v>46.751397395357088</v>
      </c>
      <c r="F37">
        <v>0.9617430225118283</v>
      </c>
    </row>
    <row r="38" spans="1:6" ht="15.5" x14ac:dyDescent="0.35">
      <c r="A38" t="s">
        <v>60</v>
      </c>
      <c r="B38">
        <v>2010</v>
      </c>
      <c r="C38" s="36">
        <v>3.9887238184036415</v>
      </c>
      <c r="D38">
        <v>14.630813907857487</v>
      </c>
      <c r="E38" s="36">
        <v>50.278496621477956</v>
      </c>
      <c r="F38">
        <v>0.71974865154709899</v>
      </c>
    </row>
    <row r="39" spans="1:6" ht="15.5" x14ac:dyDescent="0.35">
      <c r="A39" t="s">
        <v>60</v>
      </c>
      <c r="B39">
        <v>2011</v>
      </c>
      <c r="C39" s="36">
        <v>3.3530454260295364</v>
      </c>
      <c r="D39">
        <v>16.174958891991157</v>
      </c>
      <c r="E39" s="36">
        <v>53.880185836417269</v>
      </c>
      <c r="F39">
        <v>0.56374129195588973</v>
      </c>
    </row>
    <row r="40" spans="1:6" ht="15.5" x14ac:dyDescent="0.35">
      <c r="A40" t="s">
        <v>60</v>
      </c>
      <c r="B40">
        <v>2012</v>
      </c>
      <c r="C40" s="36">
        <v>3.5728008596916432</v>
      </c>
      <c r="D40">
        <v>16.362102685181309</v>
      </c>
      <c r="E40" s="36">
        <v>52.338009661192039</v>
      </c>
      <c r="F40">
        <v>0.6448953619962412</v>
      </c>
    </row>
    <row r="41" spans="1:6" ht="15.5" x14ac:dyDescent="0.35">
      <c r="A41" t="s">
        <v>60</v>
      </c>
      <c r="B41">
        <v>2013</v>
      </c>
      <c r="C41" s="36">
        <v>3.9496736596564288</v>
      </c>
      <c r="D41">
        <v>16.182271352801958</v>
      </c>
      <c r="E41" s="36">
        <v>49.494077255529248</v>
      </c>
      <c r="F41">
        <v>0.67181516943488317</v>
      </c>
    </row>
    <row r="42" spans="1:6" ht="15.5" x14ac:dyDescent="0.35">
      <c r="A42" t="s">
        <v>60</v>
      </c>
      <c r="B42">
        <v>2014</v>
      </c>
      <c r="C42" s="36">
        <v>4.1113018765810017</v>
      </c>
      <c r="D42">
        <v>15.882366699887402</v>
      </c>
      <c r="E42" s="36">
        <v>48.341936186088326</v>
      </c>
      <c r="F42">
        <v>0.84967042731094899</v>
      </c>
    </row>
    <row r="43" spans="1:6" ht="15.5" x14ac:dyDescent="0.35">
      <c r="A43" t="s">
        <v>60</v>
      </c>
      <c r="B43">
        <v>2015</v>
      </c>
      <c r="C43" s="36">
        <v>5.1005414937273041</v>
      </c>
      <c r="D43">
        <v>14.257349316965479</v>
      </c>
      <c r="E43" s="36">
        <v>42.710177035102859</v>
      </c>
      <c r="F43">
        <v>1.0826802349400266</v>
      </c>
    </row>
    <row r="44" spans="1:6" ht="15.5" x14ac:dyDescent="0.35">
      <c r="A44" t="s">
        <v>60</v>
      </c>
      <c r="B44">
        <v>2016</v>
      </c>
      <c r="C44" s="36">
        <v>6.3250352145305859</v>
      </c>
      <c r="D44">
        <v>11.294890239847954</v>
      </c>
      <c r="E44" s="36">
        <v>41.734100726150061</v>
      </c>
      <c r="F44">
        <v>1.1862284920497475</v>
      </c>
    </row>
    <row r="45" spans="1:6" ht="15.5" x14ac:dyDescent="0.35">
      <c r="A45" t="s">
        <v>60</v>
      </c>
      <c r="B45">
        <v>2017</v>
      </c>
      <c r="C45" s="36">
        <v>5.9964046677458773</v>
      </c>
      <c r="D45">
        <v>12.451736337500201</v>
      </c>
      <c r="E45" s="36">
        <v>42.872994242024355</v>
      </c>
      <c r="F45">
        <v>1.0687302028201253</v>
      </c>
    </row>
    <row r="46" spans="1:6" ht="15.5" x14ac:dyDescent="0.35">
      <c r="A46" t="s">
        <v>60</v>
      </c>
      <c r="B46">
        <v>2018</v>
      </c>
      <c r="C46" s="36">
        <v>4.9909914845386689</v>
      </c>
      <c r="D46">
        <v>13.844833594055949</v>
      </c>
      <c r="E46" s="36">
        <v>44.975592997445254</v>
      </c>
      <c r="F46">
        <v>1.00161557128374</v>
      </c>
    </row>
    <row r="47" spans="1:6" ht="15.5" x14ac:dyDescent="0.35">
      <c r="A47" t="s">
        <v>60</v>
      </c>
      <c r="B47">
        <v>2019</v>
      </c>
      <c r="C47" s="36">
        <v>5.2958623680545145</v>
      </c>
      <c r="D47">
        <v>13.377612763742299</v>
      </c>
      <c r="E47" s="36">
        <v>44.657605005894915</v>
      </c>
      <c r="F47">
        <v>0.96977286225244286</v>
      </c>
    </row>
    <row r="48" spans="1:6" ht="15.5" x14ac:dyDescent="0.35">
      <c r="A48" t="s">
        <v>60</v>
      </c>
      <c r="B48">
        <v>2020</v>
      </c>
      <c r="C48" s="36">
        <v>5.5004781757365988</v>
      </c>
      <c r="D48">
        <v>15.490793755476012</v>
      </c>
      <c r="E48" s="36">
        <v>38.634253371694186</v>
      </c>
      <c r="F48">
        <v>1.1959578919186531</v>
      </c>
    </row>
    <row r="49" spans="1:6" ht="15.5" x14ac:dyDescent="0.35">
      <c r="A49" t="s">
        <v>60</v>
      </c>
      <c r="B49">
        <v>2021</v>
      </c>
      <c r="C49" s="36">
        <v>4.8917374743722846</v>
      </c>
      <c r="D49">
        <v>18.225242150069761</v>
      </c>
      <c r="E49" s="36">
        <v>40.101199550658883</v>
      </c>
      <c r="F49">
        <v>1.2366702123966267</v>
      </c>
    </row>
    <row r="50" spans="1:6" ht="15.5" x14ac:dyDescent="0.35">
      <c r="A50" t="s">
        <v>60</v>
      </c>
      <c r="B50">
        <v>2022</v>
      </c>
      <c r="C50" s="36">
        <v>4.2584645557923633</v>
      </c>
      <c r="D50">
        <v>21.78779811009829</v>
      </c>
      <c r="E50" s="36">
        <v>42.382388264747838</v>
      </c>
      <c r="F50">
        <v>1.0795149503527695</v>
      </c>
    </row>
    <row r="51" spans="1:6" ht="15.5" x14ac:dyDescent="0.35">
      <c r="A51" t="s">
        <v>60</v>
      </c>
      <c r="B51">
        <v>2023</v>
      </c>
      <c r="C51" s="36">
        <v>6.2067545402901843</v>
      </c>
      <c r="D51">
        <v>18.297765105622553</v>
      </c>
      <c r="E51" s="36">
        <v>39.237782680525136</v>
      </c>
      <c r="F51">
        <v>1.1744043155272612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1"/>
  <sheetViews>
    <sheetView showWhiteSpace="0" topLeftCell="A24" zoomScale="85" zoomScaleNormal="85" workbookViewId="0">
      <selection activeCell="F44" sqref="F44"/>
    </sheetView>
  </sheetViews>
  <sheetFormatPr baseColWidth="10" defaultColWidth="10.453125" defaultRowHeight="17.149999999999999" customHeight="1" x14ac:dyDescent="0.35"/>
  <cols>
    <col min="1" max="1" width="54.81640625" style="2" customWidth="1"/>
    <col min="2" max="14" width="9.26953125" style="2" customWidth="1"/>
    <col min="15" max="16384" width="10.453125" style="2"/>
  </cols>
  <sheetData>
    <row r="1" spans="1:14" ht="17.149999999999999" customHeight="1" x14ac:dyDescent="0.3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17.149999999999999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4" ht="17.149999999999999" customHeight="1" x14ac:dyDescent="0.35">
      <c r="A3" s="1"/>
      <c r="B3" s="1"/>
      <c r="C3" s="1"/>
      <c r="D3" s="1"/>
      <c r="E3" s="1"/>
      <c r="F3" s="1"/>
      <c r="G3" s="1"/>
      <c r="H3" s="1"/>
      <c r="I3" s="7"/>
      <c r="J3" s="7"/>
      <c r="K3" s="9" t="s">
        <v>7</v>
      </c>
      <c r="L3" s="9"/>
      <c r="N3" s="9"/>
    </row>
    <row r="4" spans="1:14" s="18" customFormat="1" ht="15.5" x14ac:dyDescent="0.35">
      <c r="A4" s="16"/>
      <c r="B4" s="17">
        <v>2000</v>
      </c>
      <c r="C4" s="17">
        <v>2001</v>
      </c>
      <c r="D4" s="17">
        <v>2002</v>
      </c>
      <c r="E4" s="17">
        <v>2003</v>
      </c>
      <c r="F4" s="17">
        <v>2004</v>
      </c>
      <c r="G4" s="17">
        <v>2005</v>
      </c>
      <c r="H4" s="17">
        <v>2006</v>
      </c>
      <c r="I4" s="17">
        <v>2007</v>
      </c>
      <c r="J4" s="17">
        <v>2008</v>
      </c>
      <c r="K4" s="17">
        <v>2009</v>
      </c>
      <c r="L4" s="28"/>
      <c r="M4" s="28"/>
      <c r="N4" s="28"/>
    </row>
    <row r="5" spans="1:14" s="18" customFormat="1" ht="15.5" x14ac:dyDescent="0.35">
      <c r="A5" s="16" t="s">
        <v>33</v>
      </c>
      <c r="B5" s="19">
        <v>60.27859763435044</v>
      </c>
      <c r="C5" s="19">
        <v>56.538443236915334</v>
      </c>
      <c r="D5" s="19">
        <v>56.12077471153777</v>
      </c>
      <c r="E5" s="19">
        <v>59.992132291390519</v>
      </c>
      <c r="F5" s="19">
        <v>64.330270145362405</v>
      </c>
      <c r="G5" s="19">
        <v>68.008031466891978</v>
      </c>
      <c r="H5" s="19">
        <v>70.121306057657833</v>
      </c>
      <c r="I5" s="19">
        <v>68.746463508227095</v>
      </c>
      <c r="J5" s="19">
        <v>72.125831442129268</v>
      </c>
      <c r="K5" s="19">
        <v>62.259040152739466</v>
      </c>
      <c r="L5" s="29"/>
      <c r="M5" s="29"/>
      <c r="N5" s="29"/>
    </row>
    <row r="6" spans="1:14" s="18" customFormat="1" ht="15.5" x14ac:dyDescent="0.35">
      <c r="A6" s="20" t="s">
        <v>15</v>
      </c>
      <c r="B6" s="21">
        <v>44.701365879525831</v>
      </c>
      <c r="C6" s="21">
        <v>40.239639045773465</v>
      </c>
      <c r="D6" s="21">
        <v>40.825841512511047</v>
      </c>
      <c r="E6" s="21">
        <v>44.593391008515404</v>
      </c>
      <c r="F6" s="21">
        <v>50.73647577037007</v>
      </c>
      <c r="G6" s="21">
        <v>55.38021879739096</v>
      </c>
      <c r="H6" s="21">
        <v>58.75703887769366</v>
      </c>
      <c r="I6" s="21">
        <v>57.423873876912459</v>
      </c>
      <c r="J6" s="21">
        <v>56.69236911864062</v>
      </c>
      <c r="K6" s="21">
        <v>46.751397395357088</v>
      </c>
      <c r="L6" s="30"/>
      <c r="M6" s="30"/>
      <c r="N6" s="30"/>
    </row>
    <row r="7" spans="1:14" s="18" customFormat="1" ht="15.5" x14ac:dyDescent="0.35">
      <c r="A7" s="20" t="s">
        <v>34</v>
      </c>
      <c r="B7" s="21">
        <v>15.577231754824602</v>
      </c>
      <c r="C7" s="21">
        <v>16.298804191141876</v>
      </c>
      <c r="D7" s="21">
        <v>15.294933199026724</v>
      </c>
      <c r="E7" s="21">
        <v>15.39874128287512</v>
      </c>
      <c r="F7" s="21">
        <v>13.593794374992326</v>
      </c>
      <c r="G7" s="21">
        <v>12.627812669501015</v>
      </c>
      <c r="H7" s="21">
        <v>11.36426717996417</v>
      </c>
      <c r="I7" s="21">
        <v>11.322589631314637</v>
      </c>
      <c r="J7" s="21">
        <v>15.433462323488653</v>
      </c>
      <c r="K7" s="21">
        <v>15.507642757382376</v>
      </c>
      <c r="L7" s="30"/>
      <c r="M7" s="30"/>
      <c r="N7" s="30"/>
    </row>
    <row r="8" spans="1:14" s="18" customFormat="1" ht="15.5" x14ac:dyDescent="0.35">
      <c r="A8" s="16" t="s">
        <v>35</v>
      </c>
      <c r="B8" s="22">
        <v>39.721402365649553</v>
      </c>
      <c r="C8" s="22">
        <v>43.461556763084651</v>
      </c>
      <c r="D8" s="22">
        <v>43.879225288462223</v>
      </c>
      <c r="E8" s="22">
        <v>40.00786770860946</v>
      </c>
      <c r="F8" s="22">
        <v>35.669729854637588</v>
      </c>
      <c r="G8" s="22">
        <v>31.991968533108011</v>
      </c>
      <c r="H8" s="22">
        <v>29.878693942342142</v>
      </c>
      <c r="I8" s="22">
        <v>31.25353649177292</v>
      </c>
      <c r="J8" s="22">
        <v>27.874168557870771</v>
      </c>
      <c r="K8" s="22">
        <v>37.740959847260513</v>
      </c>
      <c r="L8" s="31"/>
      <c r="M8" s="31"/>
      <c r="N8" s="31"/>
    </row>
    <row r="9" spans="1:14" s="18" customFormat="1" ht="15.5" x14ac:dyDescent="0.35">
      <c r="A9" s="20" t="s">
        <v>44</v>
      </c>
      <c r="B9" s="21">
        <v>0.12197617066901306</v>
      </c>
      <c r="C9" s="21">
        <v>0.12493386128864391</v>
      </c>
      <c r="D9" s="21">
        <v>0.12559359267624759</v>
      </c>
      <c r="E9" s="21">
        <v>0.13776177475349907</v>
      </c>
      <c r="F9" s="21">
        <v>0.1090250047131306</v>
      </c>
      <c r="G9" s="21">
        <v>8.491478513146955E-2</v>
      </c>
      <c r="H9" s="21">
        <v>6.443109503287682E-2</v>
      </c>
      <c r="I9" s="21">
        <v>7.6606536892561375E-2</v>
      </c>
      <c r="J9" s="21">
        <v>8.3634136421488703E-2</v>
      </c>
      <c r="K9" s="21">
        <v>0.10670135669666951</v>
      </c>
      <c r="L9" s="30"/>
      <c r="M9" s="30"/>
      <c r="N9" s="30"/>
    </row>
    <row r="10" spans="1:14" s="18" customFormat="1" ht="15.5" x14ac:dyDescent="0.35">
      <c r="A10" s="23" t="s">
        <v>32</v>
      </c>
      <c r="B10" s="24">
        <v>0.35846009169295956</v>
      </c>
      <c r="C10" s="24">
        <v>0.40223993285299736</v>
      </c>
      <c r="D10" s="24">
        <v>0.34899395835906011</v>
      </c>
      <c r="E10" s="24">
        <v>0.29504629276696553</v>
      </c>
      <c r="F10" s="24">
        <v>0.33124461781085118</v>
      </c>
      <c r="G10" s="24">
        <v>0.21904441284966639</v>
      </c>
      <c r="H10" s="24">
        <v>0.20858686449842243</v>
      </c>
      <c r="I10" s="24">
        <v>0.22567537596133461</v>
      </c>
      <c r="J10" s="24">
        <v>0.22667922965566609</v>
      </c>
      <c r="K10" s="24">
        <v>0.3301972400287369</v>
      </c>
      <c r="L10" s="32"/>
      <c r="M10" s="32"/>
      <c r="N10" s="32"/>
    </row>
    <row r="11" spans="1:14" s="18" customFormat="1" ht="15.5" x14ac:dyDescent="0.35">
      <c r="A11" s="20" t="s">
        <v>1</v>
      </c>
      <c r="B11" s="21">
        <v>0.19582156621790933</v>
      </c>
      <c r="C11" s="21">
        <v>0.20650316603590524</v>
      </c>
      <c r="D11" s="21">
        <v>0.21366348470789853</v>
      </c>
      <c r="E11" s="21">
        <v>0.20082225322921293</v>
      </c>
      <c r="F11" s="21">
        <v>0.20125346052150753</v>
      </c>
      <c r="G11" s="21">
        <v>0.1744616041622391</v>
      </c>
      <c r="H11" s="21">
        <v>0.1539464208883832</v>
      </c>
      <c r="I11" s="21">
        <v>0.13973711562643881</v>
      </c>
      <c r="J11" s="21">
        <v>0.16723904530019551</v>
      </c>
      <c r="K11" s="21">
        <v>0.22133390252078999</v>
      </c>
      <c r="L11" s="30"/>
      <c r="M11" s="30"/>
      <c r="N11" s="30"/>
    </row>
    <row r="12" spans="1:14" s="18" customFormat="1" ht="15.65" customHeight="1" x14ac:dyDescent="0.35">
      <c r="A12" s="20" t="s">
        <v>2</v>
      </c>
      <c r="B12" s="21">
        <v>0.37271003658473967</v>
      </c>
      <c r="C12" s="21">
        <v>0.43247871160238194</v>
      </c>
      <c r="D12" s="21">
        <v>0.44482659918534689</v>
      </c>
      <c r="E12" s="21">
        <v>0.58068096785626921</v>
      </c>
      <c r="F12" s="21">
        <v>0.50726267950004333</v>
      </c>
      <c r="G12" s="21">
        <v>0.47811415396747148</v>
      </c>
      <c r="H12" s="21">
        <v>0.31377989761552033</v>
      </c>
      <c r="I12" s="21">
        <v>0.27085206722571947</v>
      </c>
      <c r="J12" s="21">
        <v>0.20177618620944826</v>
      </c>
      <c r="K12" s="21">
        <v>0.30351052326563188</v>
      </c>
      <c r="L12" s="30"/>
      <c r="M12" s="30"/>
      <c r="N12" s="30"/>
    </row>
    <row r="13" spans="1:14" s="18" customFormat="1" ht="15.5" x14ac:dyDescent="0.35">
      <c r="A13" s="20" t="s">
        <v>45</v>
      </c>
      <c r="B13" s="21">
        <v>0.79126555933848186</v>
      </c>
      <c r="C13" s="21">
        <v>0.75437766618135604</v>
      </c>
      <c r="D13" s="21">
        <v>1.1039244013596978</v>
      </c>
      <c r="E13" s="21">
        <v>0.85569074566935766</v>
      </c>
      <c r="F13" s="21">
        <v>0.62901909901242881</v>
      </c>
      <c r="G13" s="21">
        <v>0.56774600166806788</v>
      </c>
      <c r="H13" s="21">
        <v>0.31159305844761503</v>
      </c>
      <c r="I13" s="21">
        <v>0.29049672550887318</v>
      </c>
      <c r="J13" s="21">
        <v>0.23099101779452441</v>
      </c>
      <c r="K13" s="21">
        <v>0.23310979771399964</v>
      </c>
      <c r="L13" s="30"/>
      <c r="M13" s="30"/>
      <c r="N13" s="30"/>
    </row>
    <row r="14" spans="1:14" s="18" customFormat="1" ht="15.5" x14ac:dyDescent="0.35">
      <c r="A14" s="20" t="s">
        <v>19</v>
      </c>
      <c r="B14" s="21">
        <v>1.6227865900397622</v>
      </c>
      <c r="C14" s="21">
        <v>1.4994453068863429</v>
      </c>
      <c r="D14" s="21">
        <v>1.7006072834324717</v>
      </c>
      <c r="E14" s="21">
        <v>1.5945242588385196</v>
      </c>
      <c r="F14" s="21">
        <v>1.4459075303181919</v>
      </c>
      <c r="G14" s="21">
        <v>1.0734888512096301</v>
      </c>
      <c r="H14" s="21">
        <v>0.89256645663398726</v>
      </c>
      <c r="I14" s="21">
        <v>0.79347972938617162</v>
      </c>
      <c r="J14" s="21">
        <v>0.65477627262091387</v>
      </c>
      <c r="K14" s="21">
        <v>0.96658045553883931</v>
      </c>
      <c r="L14" s="30"/>
      <c r="M14" s="30"/>
      <c r="N14" s="30"/>
    </row>
    <row r="15" spans="1:14" s="18" customFormat="1" ht="15.5" x14ac:dyDescent="0.35">
      <c r="A15" s="20" t="s">
        <v>11</v>
      </c>
      <c r="B15" s="21">
        <v>0.63225307678821285</v>
      </c>
      <c r="C15" s="21">
        <v>0.69512581549310182</v>
      </c>
      <c r="D15" s="21">
        <v>0.79996802754275198</v>
      </c>
      <c r="E15" s="21">
        <v>0.77138216106215884</v>
      </c>
      <c r="F15" s="21">
        <v>0.6427923774046117</v>
      </c>
      <c r="G15" s="21">
        <v>0.63445357816384829</v>
      </c>
      <c r="H15" s="21">
        <v>0.50758819397975985</v>
      </c>
      <c r="I15" s="21">
        <v>0.54104526250141549</v>
      </c>
      <c r="J15" s="21">
        <v>0.50081611073077736</v>
      </c>
      <c r="K15" s="21">
        <v>0.69174382763352671</v>
      </c>
      <c r="L15" s="30"/>
      <c r="M15" s="30"/>
      <c r="N15" s="30"/>
    </row>
    <row r="16" spans="1:14" s="18" customFormat="1" ht="15.5" x14ac:dyDescent="0.35">
      <c r="A16" s="25" t="s">
        <v>3</v>
      </c>
      <c r="B16" s="21">
        <v>1.7126364295657812</v>
      </c>
      <c r="C16" s="21">
        <v>2.0964210170902078</v>
      </c>
      <c r="D16" s="21">
        <v>2.1859429207803251</v>
      </c>
      <c r="E16" s="21">
        <v>2.0376836779267706</v>
      </c>
      <c r="F16" s="21">
        <v>1.84122610347578</v>
      </c>
      <c r="G16" s="21">
        <v>1.5125200020506304</v>
      </c>
      <c r="H16" s="21">
        <v>1.7035535361712577</v>
      </c>
      <c r="I16" s="21">
        <v>1.6623655379560009</v>
      </c>
      <c r="J16" s="21">
        <v>1.5020846368778544</v>
      </c>
      <c r="K16" s="21">
        <v>1.8968806522527879</v>
      </c>
      <c r="L16" s="30"/>
      <c r="M16" s="30"/>
      <c r="N16" s="30"/>
    </row>
    <row r="17" spans="1:14" s="18" customFormat="1" ht="15.5" x14ac:dyDescent="0.35">
      <c r="A17" s="20" t="s">
        <v>12</v>
      </c>
      <c r="B17" s="21">
        <v>3.896625197028774</v>
      </c>
      <c r="C17" s="21">
        <v>4.2235450800491545</v>
      </c>
      <c r="D17" s="21">
        <v>4.2275039956217046</v>
      </c>
      <c r="E17" s="21">
        <v>3.9443755626899306</v>
      </c>
      <c r="F17" s="21">
        <v>3.618645853101095</v>
      </c>
      <c r="G17" s="21">
        <v>3.0993399281075811</v>
      </c>
      <c r="H17" s="21">
        <v>2.8763343040766109</v>
      </c>
      <c r="I17" s="21">
        <v>3.223161287578471</v>
      </c>
      <c r="J17" s="21">
        <v>2.9379735658347665</v>
      </c>
      <c r="K17" s="21">
        <v>4.0548276820106812</v>
      </c>
      <c r="L17" s="30"/>
      <c r="M17" s="30"/>
      <c r="N17" s="30"/>
    </row>
    <row r="18" spans="1:14" s="18" customFormat="1" ht="15.5" x14ac:dyDescent="0.35">
      <c r="A18" s="20" t="s">
        <v>29</v>
      </c>
      <c r="B18" s="21">
        <v>0.65469570136375299</v>
      </c>
      <c r="C18" s="21">
        <v>0.63696362631826908</v>
      </c>
      <c r="D18" s="21">
        <v>0.76995969304726986</v>
      </c>
      <c r="E18" s="21">
        <v>0.86570425664122663</v>
      </c>
      <c r="F18" s="21">
        <v>0.7372817394571195</v>
      </c>
      <c r="G18" s="21">
        <v>0.65321603527219096</v>
      </c>
      <c r="H18" s="21">
        <v>0.68633804680168553</v>
      </c>
      <c r="I18" s="21">
        <v>0.59108514783538635</v>
      </c>
      <c r="J18" s="21">
        <v>0.51594187296162608</v>
      </c>
      <c r="K18" s="21">
        <v>0.74393939667826081</v>
      </c>
      <c r="L18" s="30"/>
      <c r="M18" s="30"/>
      <c r="N18" s="30"/>
    </row>
    <row r="19" spans="1:14" s="18" customFormat="1" ht="15.5" x14ac:dyDescent="0.35">
      <c r="A19" s="20" t="s">
        <v>28</v>
      </c>
      <c r="B19" s="21">
        <v>0.58472989930973318</v>
      </c>
      <c r="C19" s="21">
        <v>0.60585441378724736</v>
      </c>
      <c r="D19" s="21">
        <v>0.5873770129992415</v>
      </c>
      <c r="E19" s="21">
        <v>0.49533168948450862</v>
      </c>
      <c r="F19" s="21">
        <v>0.44751228477685634</v>
      </c>
      <c r="G19" s="21">
        <v>0.36974058323666525</v>
      </c>
      <c r="H19" s="21">
        <v>0.32071538223749912</v>
      </c>
      <c r="I19" s="21">
        <v>0.32305107355643781</v>
      </c>
      <c r="J19" s="21">
        <v>0.28413555237310217</v>
      </c>
      <c r="K19" s="21">
        <v>0.40116416757211792</v>
      </c>
      <c r="L19" s="30"/>
      <c r="M19" s="30"/>
      <c r="N19" s="30"/>
    </row>
    <row r="20" spans="1:14" s="18" customFormat="1" ht="15.5" x14ac:dyDescent="0.35">
      <c r="A20" s="20" t="s">
        <v>27</v>
      </c>
      <c r="B20" s="21">
        <v>0.17933058932561541</v>
      </c>
      <c r="C20" s="21">
        <v>0.24071191804290729</v>
      </c>
      <c r="D20" s="21">
        <v>0.22984346704621483</v>
      </c>
      <c r="E20" s="21">
        <v>0.19651906398305921</v>
      </c>
      <c r="F20" s="21">
        <v>0.16577641894934733</v>
      </c>
      <c r="G20" s="21">
        <v>0.1876267416014043</v>
      </c>
      <c r="H20" s="21">
        <v>0.25744992229811192</v>
      </c>
      <c r="I20" s="21">
        <v>0.35351810083498669</v>
      </c>
      <c r="J20" s="21">
        <v>0.35924760028753433</v>
      </c>
      <c r="K20" s="21">
        <v>0.45523856223298909</v>
      </c>
      <c r="L20" s="30"/>
      <c r="M20" s="30"/>
      <c r="N20" s="30"/>
    </row>
    <row r="21" spans="1:14" s="18" customFormat="1" ht="15.5" x14ac:dyDescent="0.35">
      <c r="A21" s="20" t="s">
        <v>4</v>
      </c>
      <c r="B21" s="21">
        <v>1.9708881796707693</v>
      </c>
      <c r="C21" s="21">
        <v>2.1941723206694874</v>
      </c>
      <c r="D21" s="21">
        <v>2.0571448150935376</v>
      </c>
      <c r="E21" s="21">
        <v>1.9156137385004097</v>
      </c>
      <c r="F21" s="21">
        <v>1.6841782015763602</v>
      </c>
      <c r="G21" s="21">
        <v>1.2537282385728328</v>
      </c>
      <c r="H21" s="21">
        <v>1.0510928405226649</v>
      </c>
      <c r="I21" s="21">
        <v>1.0598292729171819</v>
      </c>
      <c r="J21" s="21">
        <v>1.0499100904031982</v>
      </c>
      <c r="K21" s="21">
        <v>1.3697517123752343</v>
      </c>
      <c r="L21" s="30"/>
      <c r="M21" s="30"/>
      <c r="N21" s="30"/>
    </row>
    <row r="22" spans="1:14" s="18" customFormat="1" ht="15.5" x14ac:dyDescent="0.35">
      <c r="A22" s="20" t="s">
        <v>5</v>
      </c>
      <c r="B22" s="21">
        <v>3.6398541588166777</v>
      </c>
      <c r="C22" s="21">
        <v>4.0689756549582476</v>
      </c>
      <c r="D22" s="21">
        <v>3.9691206633163376</v>
      </c>
      <c r="E22" s="21">
        <v>3.6333866100807022</v>
      </c>
      <c r="F22" s="21">
        <v>3.2930584470124526</v>
      </c>
      <c r="G22" s="21">
        <v>3.4379618144853388</v>
      </c>
      <c r="H22" s="21">
        <v>3.5157779397015645</v>
      </c>
      <c r="I22" s="21">
        <v>3.6551101012469824</v>
      </c>
      <c r="J22" s="21">
        <v>3.3585857154853063</v>
      </c>
      <c r="K22" s="21">
        <v>4.2316413569418625</v>
      </c>
      <c r="L22" s="30"/>
      <c r="M22" s="30"/>
      <c r="N22" s="30"/>
    </row>
    <row r="23" spans="1:14" s="18" customFormat="1" ht="15.5" x14ac:dyDescent="0.35">
      <c r="A23" s="20" t="s">
        <v>41</v>
      </c>
      <c r="B23" s="21">
        <v>4.7754867596576762</v>
      </c>
      <c r="C23" s="21">
        <v>5.0266237568024481</v>
      </c>
      <c r="D23" s="21">
        <v>4.9737976022988049</v>
      </c>
      <c r="E23" s="21">
        <v>4.3902011996915107</v>
      </c>
      <c r="F23" s="21">
        <v>3.9419060947674072</v>
      </c>
      <c r="G23" s="21">
        <v>3.2578981617763354</v>
      </c>
      <c r="H23" s="21">
        <v>2.8695760372066599</v>
      </c>
      <c r="I23" s="21">
        <v>2.9288498934446734</v>
      </c>
      <c r="J23" s="21">
        <v>2.6644296026179308</v>
      </c>
      <c r="K23" s="21">
        <v>3.4433212748562765</v>
      </c>
      <c r="L23" s="30"/>
      <c r="M23" s="30"/>
      <c r="N23" s="30"/>
    </row>
    <row r="24" spans="1:14" s="18" customFormat="1" ht="15.5" x14ac:dyDescent="0.35">
      <c r="A24" s="20" t="s">
        <v>46</v>
      </c>
      <c r="B24" s="21">
        <v>1.0755612973400832</v>
      </c>
      <c r="C24" s="21">
        <v>1.1401313315713408</v>
      </c>
      <c r="D24" s="21">
        <v>1.0831550938185313</v>
      </c>
      <c r="E24" s="21">
        <v>0.99720858781500044</v>
      </c>
      <c r="F24" s="21">
        <v>0.91537889371051828</v>
      </c>
      <c r="G24" s="21">
        <v>0.65530410706980791</v>
      </c>
      <c r="H24" s="21">
        <v>0.65457934491872394</v>
      </c>
      <c r="I24" s="21">
        <v>0.56284102282850701</v>
      </c>
      <c r="J24" s="21">
        <v>0.50337660033766418</v>
      </c>
      <c r="K24" s="21">
        <v>0.82303169711242263</v>
      </c>
      <c r="L24" s="30"/>
      <c r="M24" s="30"/>
      <c r="N24" s="30"/>
    </row>
    <row r="25" spans="1:14" s="18" customFormat="1" ht="15.5" x14ac:dyDescent="0.35">
      <c r="A25" s="20" t="s">
        <v>47</v>
      </c>
      <c r="B25" s="21">
        <v>2.2303888486378094</v>
      </c>
      <c r="C25" s="21">
        <v>2.2966063091201407</v>
      </c>
      <c r="D25" s="21">
        <v>2.6272417191719368</v>
      </c>
      <c r="E25" s="21">
        <v>2.6031633820429336</v>
      </c>
      <c r="F25" s="21">
        <v>2.2804291778207575</v>
      </c>
      <c r="G25" s="21">
        <v>3.2664266533629278</v>
      </c>
      <c r="H25" s="21">
        <v>2.940140133278792</v>
      </c>
      <c r="I25" s="21">
        <v>2.8723091899467414</v>
      </c>
      <c r="J25" s="21">
        <v>2.4055530836760046</v>
      </c>
      <c r="K25" s="21">
        <v>3.969565048281408</v>
      </c>
      <c r="L25" s="30"/>
      <c r="M25" s="30"/>
      <c r="N25" s="30"/>
    </row>
    <row r="26" spans="1:14" s="18" customFormat="1" ht="15.5" x14ac:dyDescent="0.35">
      <c r="A26" s="20" t="s">
        <v>22</v>
      </c>
      <c r="B26" s="21">
        <v>1.9169122452967104</v>
      </c>
      <c r="C26" s="21">
        <v>2.2151684745230411</v>
      </c>
      <c r="D26" s="21">
        <v>2.3822719376885555</v>
      </c>
      <c r="E26" s="21">
        <v>1.9601527938730796</v>
      </c>
      <c r="F26" s="21">
        <v>1.697075043159203</v>
      </c>
      <c r="G26" s="21">
        <v>1.4887377609610462</v>
      </c>
      <c r="H26" s="21">
        <v>1.4760768303485881</v>
      </c>
      <c r="I26" s="21">
        <v>1.6744356504416649</v>
      </c>
      <c r="J26" s="21">
        <v>1.5534190461228963</v>
      </c>
      <c r="K26" s="21">
        <v>2.0072110390623124</v>
      </c>
      <c r="L26" s="30"/>
      <c r="M26" s="30"/>
      <c r="N26" s="30"/>
    </row>
    <row r="27" spans="1:14" s="18" customFormat="1" ht="15.5" x14ac:dyDescent="0.35">
      <c r="A27" s="20" t="s">
        <v>21</v>
      </c>
      <c r="B27" s="21">
        <v>0.49053799801613929</v>
      </c>
      <c r="C27" s="21">
        <v>0.52603595677661241</v>
      </c>
      <c r="D27" s="21">
        <v>0.52524409214347467</v>
      </c>
      <c r="E27" s="21">
        <v>0.48722357044902315</v>
      </c>
      <c r="F27" s="21">
        <v>0.42674189540424801</v>
      </c>
      <c r="G27" s="21">
        <v>0.35970239196109083</v>
      </c>
      <c r="H27" s="21">
        <v>0.31809701768038451</v>
      </c>
      <c r="I27" s="21">
        <v>0.31861468752470179</v>
      </c>
      <c r="J27" s="21">
        <v>0.28924072419591002</v>
      </c>
      <c r="K27" s="21">
        <v>0.37674512530148513</v>
      </c>
      <c r="L27" s="30"/>
      <c r="M27" s="30"/>
      <c r="N27" s="30"/>
    </row>
    <row r="28" spans="1:14" s="18" customFormat="1" ht="15.5" x14ac:dyDescent="0.35">
      <c r="A28" s="20" t="s">
        <v>20</v>
      </c>
      <c r="B28" s="21">
        <v>0.65416690782985465</v>
      </c>
      <c r="C28" s="21">
        <v>0.83583835404783446</v>
      </c>
      <c r="D28" s="21">
        <v>0.76626756340340085</v>
      </c>
      <c r="E28" s="21">
        <v>0.60502901971601741</v>
      </c>
      <c r="F28" s="21">
        <v>0.38819531039763427</v>
      </c>
      <c r="G28" s="21">
        <v>0.31790091167242368</v>
      </c>
      <c r="H28" s="21">
        <v>0.30054960592188668</v>
      </c>
      <c r="I28" s="21">
        <v>0.33319414101991485</v>
      </c>
      <c r="J28" s="21">
        <v>0.31850334045809808</v>
      </c>
      <c r="K28" s="21">
        <v>0.42535570787950977</v>
      </c>
      <c r="L28" s="30"/>
      <c r="M28" s="30"/>
      <c r="N28" s="30"/>
    </row>
    <row r="29" spans="1:14" s="18" customFormat="1" ht="15.5" x14ac:dyDescent="0.35">
      <c r="A29" s="20" t="s">
        <v>43</v>
      </c>
      <c r="B29" s="21">
        <v>11.844315062459099</v>
      </c>
      <c r="C29" s="21">
        <v>13.239404088986984</v>
      </c>
      <c r="D29" s="21">
        <v>12.75677736476942</v>
      </c>
      <c r="E29" s="21">
        <v>11.440366101539311</v>
      </c>
      <c r="F29" s="21">
        <v>10.365819621748045</v>
      </c>
      <c r="G29" s="21">
        <v>8.8996418158253441</v>
      </c>
      <c r="H29" s="21">
        <v>8.4559210140811487</v>
      </c>
      <c r="I29" s="21">
        <v>9.3572785715387603</v>
      </c>
      <c r="J29" s="21">
        <v>8.0658551275058628</v>
      </c>
      <c r="K29" s="21">
        <v>10.689109321304976</v>
      </c>
      <c r="L29" s="30"/>
      <c r="M29" s="30"/>
      <c r="N29" s="30"/>
    </row>
    <row r="30" spans="1:14" s="18" customFormat="1" ht="15.5" x14ac:dyDescent="0.35">
      <c r="A30" s="26" t="s">
        <v>6</v>
      </c>
      <c r="B30" s="27">
        <v>100</v>
      </c>
      <c r="C30" s="27">
        <v>100</v>
      </c>
      <c r="D30" s="27">
        <v>100</v>
      </c>
      <c r="E30" s="27">
        <v>100</v>
      </c>
      <c r="F30" s="27">
        <v>100</v>
      </c>
      <c r="G30" s="27">
        <v>100</v>
      </c>
      <c r="H30" s="27">
        <v>100</v>
      </c>
      <c r="I30" s="27">
        <v>100</v>
      </c>
      <c r="J30" s="27">
        <v>100</v>
      </c>
      <c r="K30" s="27">
        <v>100</v>
      </c>
      <c r="L30" s="33"/>
      <c r="M30" s="33"/>
      <c r="N30" s="33"/>
    </row>
    <row r="31" spans="1:14" ht="15.5" x14ac:dyDescent="0.35">
      <c r="A31" s="1"/>
      <c r="B31" s="1"/>
      <c r="C31" s="1"/>
      <c r="D31" s="1"/>
      <c r="E31" s="1"/>
      <c r="F31" s="1"/>
      <c r="G31" s="1"/>
      <c r="H31" s="1"/>
      <c r="I31" s="7"/>
      <c r="J31" s="7"/>
      <c r="K31" s="7"/>
      <c r="L31" s="9"/>
      <c r="N31" s="9"/>
    </row>
    <row r="32" spans="1:14" ht="17.149999999999999" customHeight="1" x14ac:dyDescent="0.35">
      <c r="A32" s="2" t="s">
        <v>50</v>
      </c>
      <c r="B32" s="3"/>
      <c r="C32" s="3"/>
      <c r="D32" s="3"/>
      <c r="E32" s="3"/>
      <c r="F32" s="3"/>
      <c r="G32" s="3"/>
      <c r="H32" s="3"/>
      <c r="M32" s="34"/>
      <c r="N32" s="34"/>
    </row>
    <row r="33" spans="1:14" ht="17.149999999999999" customHeight="1" x14ac:dyDescent="0.35">
      <c r="A33" s="2" t="s">
        <v>51</v>
      </c>
      <c r="B33" s="3"/>
      <c r="C33" s="3"/>
      <c r="D33" s="3"/>
      <c r="E33" s="3"/>
      <c r="F33" s="3"/>
      <c r="G33" s="3"/>
      <c r="H33" s="3"/>
    </row>
    <row r="34" spans="1:14" ht="17.149999999999999" customHeight="1" x14ac:dyDescent="0.35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spans="1:14" ht="15.5" x14ac:dyDescent="0.35">
      <c r="A35" s="2" t="s">
        <v>52</v>
      </c>
      <c r="B35" s="35"/>
      <c r="C35" s="34"/>
      <c r="D35" s="35"/>
      <c r="E35" s="35"/>
      <c r="F35" s="34"/>
      <c r="G35" s="35"/>
      <c r="H35" s="35"/>
      <c r="I35" s="34"/>
      <c r="J35" s="34"/>
      <c r="K35" s="34"/>
      <c r="L35" s="34"/>
      <c r="M35" s="34"/>
      <c r="N35" s="34"/>
    </row>
    <row r="36" spans="1:14" ht="15.5" x14ac:dyDescent="0.35">
      <c r="A36" s="2" t="s">
        <v>53</v>
      </c>
      <c r="B36" s="35"/>
      <c r="C36" s="34"/>
      <c r="D36" s="35"/>
      <c r="E36" s="35"/>
      <c r="F36" s="34"/>
      <c r="G36" s="35"/>
      <c r="H36" s="35"/>
      <c r="I36" s="34"/>
      <c r="J36" s="34"/>
      <c r="K36" s="34"/>
      <c r="L36" s="34"/>
      <c r="M36" s="34"/>
      <c r="N36" s="34"/>
    </row>
    <row r="37" spans="1:14" ht="15.5" x14ac:dyDescent="0.35">
      <c r="A37" s="2" t="s">
        <v>54</v>
      </c>
    </row>
    <row r="40" spans="1:14" ht="17.149999999999999" customHeight="1" x14ac:dyDescent="0.35">
      <c r="A40" s="2" t="s">
        <v>61</v>
      </c>
      <c r="B40" s="34">
        <f>B7+B13+B14</f>
        <v>17.991283904202845</v>
      </c>
      <c r="C40" s="34">
        <f t="shared" ref="C40:K40" si="0">C7+C13+C14</f>
        <v>18.552627164209575</v>
      </c>
      <c r="D40" s="34">
        <f t="shared" si="0"/>
        <v>18.099464883818893</v>
      </c>
      <c r="E40" s="34">
        <f t="shared" si="0"/>
        <v>17.848956287382997</v>
      </c>
      <c r="F40" s="34">
        <f t="shared" si="0"/>
        <v>15.668721004322945</v>
      </c>
      <c r="G40" s="34">
        <f t="shared" si="0"/>
        <v>14.269047522378713</v>
      </c>
      <c r="H40" s="34">
        <f t="shared" si="0"/>
        <v>12.568426695045773</v>
      </c>
      <c r="I40" s="34">
        <f t="shared" si="0"/>
        <v>12.406566086209683</v>
      </c>
      <c r="J40" s="34">
        <f t="shared" si="0"/>
        <v>16.319229613904092</v>
      </c>
      <c r="K40" s="34">
        <f t="shared" si="0"/>
        <v>16.707333010635217</v>
      </c>
    </row>
    <row r="41" spans="1:14" ht="17.149999999999999" customHeight="1" x14ac:dyDescent="0.35">
      <c r="A41" s="2" t="s">
        <v>62</v>
      </c>
      <c r="B41" s="34">
        <f>B9+B10+B11+B12</f>
        <v>1.0489678651646215</v>
      </c>
      <c r="C41" s="34">
        <f t="shared" ref="C41:K41" si="1">C9+C10+C11+C12</f>
        <v>1.1661556717799284</v>
      </c>
      <c r="D41" s="34">
        <f t="shared" si="1"/>
        <v>1.1330776349285532</v>
      </c>
      <c r="E41" s="34">
        <f t="shared" si="1"/>
        <v>1.2143112886059468</v>
      </c>
      <c r="F41" s="34">
        <f t="shared" si="1"/>
        <v>1.1487857625455327</v>
      </c>
      <c r="G41" s="34">
        <f t="shared" si="1"/>
        <v>0.95653495611084649</v>
      </c>
      <c r="H41" s="34">
        <f t="shared" si="1"/>
        <v>0.74074427803520271</v>
      </c>
      <c r="I41" s="34">
        <f t="shared" si="1"/>
        <v>0.71287109570605423</v>
      </c>
      <c r="J41" s="34">
        <f t="shared" si="1"/>
        <v>0.67932859758679853</v>
      </c>
      <c r="K41" s="34">
        <f t="shared" si="1"/>
        <v>0.9617430225118283</v>
      </c>
    </row>
  </sheetData>
  <pageMargins left="0.25" right="0.25" top="0.75" bottom="0.75" header="0.3" footer="0.3"/>
  <pageSetup scale="74" orientation="landscape" r:id="rId1"/>
  <headerFooter>
    <oddFooter>&amp;LSource: Jabatan Perancangan dan Kemajuan Ekonomi (JPKE)&amp;C7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6"/>
  <sheetViews>
    <sheetView topLeftCell="B1" zoomScale="55" zoomScaleNormal="55" workbookViewId="0">
      <selection activeCell="AA9" sqref="AA9"/>
    </sheetView>
  </sheetViews>
  <sheetFormatPr baseColWidth="10" defaultColWidth="10.453125" defaultRowHeight="15.5" x14ac:dyDescent="0.35"/>
  <cols>
    <col min="1" max="1" width="54.81640625" style="2" customWidth="1"/>
    <col min="2" max="14" width="9.26953125" style="2" customWidth="1"/>
    <col min="15" max="16384" width="10.453125" style="2"/>
  </cols>
  <sheetData>
    <row r="1" spans="1:27" ht="17.149999999999999" customHeight="1" x14ac:dyDescent="0.3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7" ht="17.149999999999999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27" ht="17.149999999999999" customHeight="1" x14ac:dyDescent="0.35">
      <c r="A3" s="1"/>
      <c r="B3" s="1"/>
      <c r="C3" s="1"/>
      <c r="D3" s="1"/>
      <c r="E3" s="1"/>
      <c r="F3" s="1"/>
      <c r="G3" s="1"/>
      <c r="H3" s="1"/>
      <c r="I3" s="7"/>
      <c r="J3" s="7"/>
      <c r="K3" s="7"/>
      <c r="L3" s="9"/>
      <c r="N3" s="9"/>
      <c r="AA3" s="9" t="s">
        <v>7</v>
      </c>
    </row>
    <row r="4" spans="1:27" s="18" customFormat="1" x14ac:dyDescent="0.35">
      <c r="A4" s="16"/>
      <c r="B4" s="17">
        <v>1974</v>
      </c>
      <c r="C4" s="17">
        <v>1975</v>
      </c>
      <c r="D4" s="17">
        <v>1976</v>
      </c>
      <c r="E4" s="17">
        <v>1977</v>
      </c>
      <c r="F4" s="17">
        <v>1978</v>
      </c>
      <c r="G4" s="17">
        <v>1979</v>
      </c>
      <c r="H4" s="17">
        <v>1980</v>
      </c>
      <c r="I4" s="17">
        <v>1981</v>
      </c>
      <c r="J4" s="17">
        <v>1982</v>
      </c>
      <c r="K4" s="17">
        <v>1983</v>
      </c>
      <c r="L4" s="17">
        <v>1984</v>
      </c>
      <c r="M4" s="17">
        <v>1985</v>
      </c>
      <c r="N4" s="17">
        <v>1986</v>
      </c>
      <c r="O4" s="17">
        <v>1987</v>
      </c>
      <c r="P4" s="17">
        <v>1988</v>
      </c>
      <c r="Q4" s="17">
        <v>1989</v>
      </c>
      <c r="R4" s="17">
        <v>1990</v>
      </c>
      <c r="S4" s="17">
        <v>1991</v>
      </c>
      <c r="T4" s="17">
        <v>1992</v>
      </c>
      <c r="U4" s="17">
        <v>1993</v>
      </c>
      <c r="V4" s="17">
        <v>1994</v>
      </c>
      <c r="W4" s="17">
        <v>1995</v>
      </c>
      <c r="X4" s="17">
        <v>1996</v>
      </c>
      <c r="Y4" s="17">
        <v>1997</v>
      </c>
      <c r="Z4" s="17">
        <v>1998</v>
      </c>
      <c r="AA4" s="17">
        <v>1999</v>
      </c>
    </row>
    <row r="5" spans="1:27" s="18" customFormat="1" x14ac:dyDescent="0.35">
      <c r="A5" s="16" t="s">
        <v>33</v>
      </c>
      <c r="B5" s="19">
        <v>97.085685012621809</v>
      </c>
      <c r="C5" s="19">
        <v>95.897001339409528</v>
      </c>
      <c r="D5" s="19">
        <v>96.374180752808442</v>
      </c>
      <c r="E5" s="19">
        <v>95.32340325583526</v>
      </c>
      <c r="F5" s="19">
        <v>94.67381573003955</v>
      </c>
      <c r="G5" s="19">
        <v>96.762901426357672</v>
      </c>
      <c r="H5" s="19">
        <v>98.396908417845296</v>
      </c>
      <c r="I5" s="19">
        <v>96.429739364093848</v>
      </c>
      <c r="J5" s="19">
        <v>93.924877294615243</v>
      </c>
      <c r="K5" s="19">
        <v>92.512810869263646</v>
      </c>
      <c r="L5" s="19">
        <v>91.100577897171689</v>
      </c>
      <c r="M5" s="19">
        <v>89.253603795000529</v>
      </c>
      <c r="N5" s="19">
        <v>79.058358538111349</v>
      </c>
      <c r="O5" s="19">
        <v>79.420267239787862</v>
      </c>
      <c r="P5" s="19">
        <v>73.404622211197022</v>
      </c>
      <c r="Q5" s="19">
        <v>71.571838177194252</v>
      </c>
      <c r="R5" s="19">
        <v>72.60651395697667</v>
      </c>
      <c r="S5" s="19">
        <v>70.270647569239202</v>
      </c>
      <c r="T5" s="19">
        <v>65.793471042985971</v>
      </c>
      <c r="U5" s="19">
        <v>62.259025292699299</v>
      </c>
      <c r="V5" s="19">
        <v>58.282107882082421</v>
      </c>
      <c r="W5" s="19">
        <v>59.564225490274801</v>
      </c>
      <c r="X5" s="19">
        <v>56.253118804732559</v>
      </c>
      <c r="Y5" s="19">
        <v>59.885666473945001</v>
      </c>
      <c r="Z5" s="19">
        <v>52.590269972790246</v>
      </c>
      <c r="AA5" s="19">
        <v>57.52827310379147</v>
      </c>
    </row>
    <row r="6" spans="1:27" s="18" customFormat="1" x14ac:dyDescent="0.35">
      <c r="A6" s="20" t="s">
        <v>15</v>
      </c>
      <c r="B6" s="21" t="s">
        <v>48</v>
      </c>
      <c r="C6" s="21" t="s">
        <v>48</v>
      </c>
      <c r="D6" s="21" t="s">
        <v>48</v>
      </c>
      <c r="E6" s="21" t="s">
        <v>48</v>
      </c>
      <c r="F6" s="21" t="s">
        <v>48</v>
      </c>
      <c r="G6" s="21" t="s">
        <v>48</v>
      </c>
      <c r="H6" s="21" t="s">
        <v>48</v>
      </c>
      <c r="I6" s="21" t="s">
        <v>48</v>
      </c>
      <c r="J6" s="21" t="s">
        <v>48</v>
      </c>
      <c r="K6" s="21" t="s">
        <v>48</v>
      </c>
      <c r="L6" s="21" t="s">
        <v>48</v>
      </c>
      <c r="M6" s="21">
        <v>70.611497966811115</v>
      </c>
      <c r="N6" s="21">
        <v>54.934875598876722</v>
      </c>
      <c r="O6" s="21">
        <v>60.82775363533284</v>
      </c>
      <c r="P6" s="21">
        <v>52.565364649974036</v>
      </c>
      <c r="Q6" s="21">
        <v>54.112723900643054</v>
      </c>
      <c r="R6" s="21">
        <v>57.229565791665408</v>
      </c>
      <c r="S6" s="21">
        <v>53.093181261868253</v>
      </c>
      <c r="T6" s="21">
        <v>48.784052808526795</v>
      </c>
      <c r="U6" s="21">
        <v>45.53706410860925</v>
      </c>
      <c r="V6" s="21">
        <v>42.002803045905509</v>
      </c>
      <c r="W6" s="21">
        <v>40.577949883507891</v>
      </c>
      <c r="X6" s="21">
        <v>39.672885710044994</v>
      </c>
      <c r="Y6" s="21">
        <v>39.295512392279576</v>
      </c>
      <c r="Z6" s="21">
        <v>34.896201503234423</v>
      </c>
      <c r="AA6" s="21">
        <v>41.802261478666999</v>
      </c>
    </row>
    <row r="7" spans="1:27" s="18" customFormat="1" x14ac:dyDescent="0.35">
      <c r="A7" s="20" t="s">
        <v>34</v>
      </c>
      <c r="B7" s="21" t="s">
        <v>48</v>
      </c>
      <c r="C7" s="21" t="s">
        <v>48</v>
      </c>
      <c r="D7" s="21" t="s">
        <v>48</v>
      </c>
      <c r="E7" s="21" t="s">
        <v>48</v>
      </c>
      <c r="F7" s="21" t="s">
        <v>48</v>
      </c>
      <c r="G7" s="21" t="s">
        <v>48</v>
      </c>
      <c r="H7" s="21" t="s">
        <v>48</v>
      </c>
      <c r="I7" s="21" t="s">
        <v>48</v>
      </c>
      <c r="J7" s="21" t="s">
        <v>48</v>
      </c>
      <c r="K7" s="21" t="s">
        <v>48</v>
      </c>
      <c r="L7" s="21" t="s">
        <v>48</v>
      </c>
      <c r="M7" s="21">
        <v>18.642105828189422</v>
      </c>
      <c r="N7" s="21">
        <v>24.123482939234638</v>
      </c>
      <c r="O7" s="21">
        <v>18.592513604455039</v>
      </c>
      <c r="P7" s="21">
        <v>20.83925756122299</v>
      </c>
      <c r="Q7" s="21">
        <v>17.459114276551187</v>
      </c>
      <c r="R7" s="21">
        <v>15.376948165311264</v>
      </c>
      <c r="S7" s="21">
        <v>17.177466307370953</v>
      </c>
      <c r="T7" s="21">
        <v>17.009418234459179</v>
      </c>
      <c r="U7" s="21">
        <v>16.721961184090052</v>
      </c>
      <c r="V7" s="21">
        <v>16.279304836176916</v>
      </c>
      <c r="W7" s="21">
        <v>18.986275606766913</v>
      </c>
      <c r="X7" s="21">
        <v>16.580233094687571</v>
      </c>
      <c r="Y7" s="21">
        <v>20.590154081665418</v>
      </c>
      <c r="Z7" s="21">
        <v>17.69406846955583</v>
      </c>
      <c r="AA7" s="21">
        <v>15.726011625124475</v>
      </c>
    </row>
    <row r="8" spans="1:27" s="18" customFormat="1" x14ac:dyDescent="0.35">
      <c r="A8" s="16" t="s">
        <v>35</v>
      </c>
      <c r="B8" s="22">
        <v>5.9593958050493701</v>
      </c>
      <c r="C8" s="22">
        <v>7.0621252208105627</v>
      </c>
      <c r="D8" s="22">
        <v>6.6077139460547247</v>
      </c>
      <c r="E8" s="22">
        <v>7.6166824224559964</v>
      </c>
      <c r="F8" s="22">
        <v>8.2472840770492937</v>
      </c>
      <c r="G8" s="22">
        <v>6.3043288729333389</v>
      </c>
      <c r="H8" s="22">
        <v>4.7569190600656865</v>
      </c>
      <c r="I8" s="22">
        <v>6.5320116267313102</v>
      </c>
      <c r="J8" s="22">
        <v>8.8506182766521508</v>
      </c>
      <c r="K8" s="22">
        <v>10.04793717403844</v>
      </c>
      <c r="L8" s="22">
        <v>11.046323572584052</v>
      </c>
      <c r="M8" s="22">
        <v>11.920895325069246</v>
      </c>
      <c r="N8" s="22">
        <v>21.870608793790083</v>
      </c>
      <c r="O8" s="22">
        <v>20.695440172883927</v>
      </c>
      <c r="P8" s="22">
        <v>26.520988776849784</v>
      </c>
      <c r="Q8" s="22">
        <v>27.786692945774234</v>
      </c>
      <c r="R8" s="22">
        <v>26.634092746331099</v>
      </c>
      <c r="S8" s="22">
        <v>28.852899983150621</v>
      </c>
      <c r="T8" s="22">
        <v>32.446053565261302</v>
      </c>
      <c r="U8" s="22">
        <v>35.514458388724449</v>
      </c>
      <c r="V8" s="22">
        <v>39.265257391558258</v>
      </c>
      <c r="W8" s="22">
        <v>37.509379260983792</v>
      </c>
      <c r="X8" s="22">
        <v>40.896426438919995</v>
      </c>
      <c r="Y8" s="22">
        <v>38.668884624911954</v>
      </c>
      <c r="Z8" s="22">
        <v>44.717875374950324</v>
      </c>
      <c r="AA8" s="22">
        <v>41.109973556743398</v>
      </c>
    </row>
    <row r="9" spans="1:27" s="18" customFormat="1" x14ac:dyDescent="0.35">
      <c r="A9" s="20" t="s">
        <v>36</v>
      </c>
      <c r="B9" s="21">
        <v>0.1777044821920174</v>
      </c>
      <c r="C9" s="21">
        <v>0.20295277280204077</v>
      </c>
      <c r="D9" s="21">
        <v>0.15750140325718365</v>
      </c>
      <c r="E9" s="21">
        <v>0.1375205487147525</v>
      </c>
      <c r="F9" s="21">
        <v>0.13894801757315656</v>
      </c>
      <c r="G9" s="21">
        <v>9.8550086539981221E-2</v>
      </c>
      <c r="H9" s="21">
        <v>5.2211002492982155E-2</v>
      </c>
      <c r="I9" s="21">
        <v>7.0276380737459163E-2</v>
      </c>
      <c r="J9" s="21">
        <v>0.11199372455328535</v>
      </c>
      <c r="K9" s="21">
        <v>0.13667556347973958</v>
      </c>
      <c r="L9" s="21">
        <v>0.13878813632108303</v>
      </c>
      <c r="M9" s="21">
        <v>0.16581034342780313</v>
      </c>
      <c r="N9" s="21">
        <v>0.33954626823063205</v>
      </c>
      <c r="O9" s="21">
        <v>0.38365848934961605</v>
      </c>
      <c r="P9" s="21">
        <v>0.51482012545353695</v>
      </c>
      <c r="Q9" s="21">
        <v>0.56369186063754251</v>
      </c>
      <c r="R9" s="21">
        <v>0.55975001097401711</v>
      </c>
      <c r="S9" s="21">
        <v>0.57494016219493316</v>
      </c>
      <c r="T9" s="21">
        <v>0.62233787277659736</v>
      </c>
      <c r="U9" s="21">
        <v>0.71477707911572164</v>
      </c>
      <c r="V9" s="21">
        <v>0.8197594044516251</v>
      </c>
      <c r="W9" s="21">
        <v>0.69164072898362894</v>
      </c>
      <c r="X9" s="21">
        <v>0.8509543874579405</v>
      </c>
      <c r="Y9" s="21">
        <v>0.91273307473425069</v>
      </c>
      <c r="Z9" s="21">
        <v>1.0986216103992013</v>
      </c>
      <c r="AA9" s="21">
        <v>1.0460747147555276</v>
      </c>
    </row>
    <row r="10" spans="1:27" s="18" customFormat="1" x14ac:dyDescent="0.35">
      <c r="A10" s="23" t="s">
        <v>37</v>
      </c>
      <c r="B10" s="24">
        <v>0.34748980927951301</v>
      </c>
      <c r="C10" s="24">
        <v>0.38805716525111622</v>
      </c>
      <c r="D10" s="24">
        <v>0.37417679449064595</v>
      </c>
      <c r="E10" s="24">
        <v>0.33077510100252033</v>
      </c>
      <c r="F10" s="24">
        <v>0.29918708083097373</v>
      </c>
      <c r="G10" s="24">
        <v>0.26576492960719411</v>
      </c>
      <c r="H10" s="24">
        <v>0.20174978776778882</v>
      </c>
      <c r="I10" s="24">
        <v>0.23673525838253706</v>
      </c>
      <c r="J10" s="24">
        <v>0.29952395912697383</v>
      </c>
      <c r="K10" s="24">
        <v>0.30465276952240039</v>
      </c>
      <c r="L10" s="24">
        <v>0.27330330600128427</v>
      </c>
      <c r="M10" s="24">
        <v>0.27958987776333327</v>
      </c>
      <c r="N10" s="24">
        <v>0.48077242139567727</v>
      </c>
      <c r="O10" s="24">
        <v>0.35981850300165574</v>
      </c>
      <c r="P10" s="24">
        <v>0.39783505570624295</v>
      </c>
      <c r="Q10" s="24">
        <v>0.41165619681513466</v>
      </c>
      <c r="R10" s="24">
        <v>0.40296776643875931</v>
      </c>
      <c r="S10" s="24">
        <v>0.49018212478922524</v>
      </c>
      <c r="T10" s="24">
        <v>0.54410274038778239</v>
      </c>
      <c r="U10" s="24">
        <v>0.45245898574863541</v>
      </c>
      <c r="V10" s="24">
        <v>0.63876206469738106</v>
      </c>
      <c r="W10" s="24">
        <v>0.66488262607958459</v>
      </c>
      <c r="X10" s="24">
        <v>0.85964781262896184</v>
      </c>
      <c r="Y10" s="24">
        <v>0.96004125788421257</v>
      </c>
      <c r="Z10" s="24">
        <v>1.4269520681361358</v>
      </c>
      <c r="AA10" s="24">
        <v>1.7918514972880397</v>
      </c>
    </row>
    <row r="11" spans="1:27" s="18" customFormat="1" x14ac:dyDescent="0.35">
      <c r="A11" s="20" t="s">
        <v>3</v>
      </c>
      <c r="B11" s="21">
        <v>0.18142160395409315</v>
      </c>
      <c r="C11" s="21">
        <v>0.31001574633819301</v>
      </c>
      <c r="D11" s="21">
        <v>0.30245575759736126</v>
      </c>
      <c r="E11" s="21">
        <v>0.2891427984401525</v>
      </c>
      <c r="F11" s="21">
        <v>0.29559839057987913</v>
      </c>
      <c r="G11" s="21">
        <v>0.20527553417492408</v>
      </c>
      <c r="H11" s="21">
        <v>0.13351831672371858</v>
      </c>
      <c r="I11" s="21">
        <v>0.24226042904896378</v>
      </c>
      <c r="J11" s="21">
        <v>0.3924914506572309</v>
      </c>
      <c r="K11" s="21">
        <v>0.46673298873583774</v>
      </c>
      <c r="L11" s="21">
        <v>0.3432164024203691</v>
      </c>
      <c r="M11" s="21">
        <v>0.28659536121089296</v>
      </c>
      <c r="N11" s="21">
        <v>0.67331152484825219</v>
      </c>
      <c r="O11" s="21">
        <v>0.61995435276610944</v>
      </c>
      <c r="P11" s="21">
        <v>0.79172759983993113</v>
      </c>
      <c r="Q11" s="21">
        <v>1.0356040382474738</v>
      </c>
      <c r="R11" s="21">
        <v>1.017551146410228</v>
      </c>
      <c r="S11" s="21">
        <v>1.076092734904144</v>
      </c>
      <c r="T11" s="21">
        <v>1.9411729889275924</v>
      </c>
      <c r="U11" s="21">
        <v>2.3535563242349178</v>
      </c>
      <c r="V11" s="21">
        <v>2.5638337031378531</v>
      </c>
      <c r="W11" s="21">
        <v>3.3474953384410644</v>
      </c>
      <c r="X11" s="21">
        <v>3.9986432737986322</v>
      </c>
      <c r="Y11" s="21">
        <v>3.6363707150033897</v>
      </c>
      <c r="Z11" s="21">
        <v>3.8533084005877933</v>
      </c>
      <c r="AA11" s="21">
        <v>2.0500786313872275</v>
      </c>
    </row>
    <row r="12" spans="1:27" s="18" customFormat="1" ht="15.65" customHeight="1" x14ac:dyDescent="0.35">
      <c r="A12" s="20" t="s">
        <v>11</v>
      </c>
      <c r="B12" s="21">
        <v>5.0094372238894187E-2</v>
      </c>
      <c r="C12" s="21">
        <v>5.8409645351784514E-2</v>
      </c>
      <c r="D12" s="21">
        <v>5.6271978310977154E-2</v>
      </c>
      <c r="E12" s="21">
        <v>3.0730269460504472E-2</v>
      </c>
      <c r="F12" s="21">
        <v>1.6235059833762607E-2</v>
      </c>
      <c r="G12" s="21">
        <v>3.0080608650576385E-4</v>
      </c>
      <c r="H12" s="21">
        <v>0</v>
      </c>
      <c r="I12" s="21">
        <v>1.966814494607708E-2</v>
      </c>
      <c r="J12" s="21">
        <v>4.0204933379121864E-2</v>
      </c>
      <c r="K12" s="21">
        <v>4.5626389189632736E-2</v>
      </c>
      <c r="L12" s="21">
        <v>4.1671982426305147E-2</v>
      </c>
      <c r="M12" s="21">
        <v>9.2264732826449175E-2</v>
      </c>
      <c r="N12" s="21">
        <v>0.21500306276443201</v>
      </c>
      <c r="O12" s="21">
        <v>0.19002110659612687</v>
      </c>
      <c r="P12" s="21">
        <v>0.22742893002226325</v>
      </c>
      <c r="Q12" s="21">
        <v>0.24405234151228367</v>
      </c>
      <c r="R12" s="21">
        <v>0.26573433496294191</v>
      </c>
      <c r="S12" s="21">
        <v>0.28681342808089272</v>
      </c>
      <c r="T12" s="21">
        <v>0.32078395655640957</v>
      </c>
      <c r="U12" s="21">
        <v>0.38390733272002331</v>
      </c>
      <c r="V12" s="21">
        <v>0.46681120692481076</v>
      </c>
      <c r="W12" s="21">
        <v>0.40603465284377216</v>
      </c>
      <c r="X12" s="21">
        <v>0.52042338442593095</v>
      </c>
      <c r="Y12" s="21">
        <v>0.6208140677735321</v>
      </c>
      <c r="Z12" s="21">
        <v>0.7927862618741871</v>
      </c>
      <c r="AA12" s="21">
        <v>0.76080801252352637</v>
      </c>
    </row>
    <row r="13" spans="1:27" s="18" customFormat="1" x14ac:dyDescent="0.35">
      <c r="A13" s="20" t="s">
        <v>38</v>
      </c>
      <c r="B13" s="21">
        <v>0.14936915687525076</v>
      </c>
      <c r="C13" s="21">
        <v>0.25620759715666253</v>
      </c>
      <c r="D13" s="21">
        <v>0.25343986714887512</v>
      </c>
      <c r="E13" s="21">
        <v>0.26233788311554951</v>
      </c>
      <c r="F13" s="21">
        <v>0.30875416778065168</v>
      </c>
      <c r="G13" s="21">
        <v>0.20717177511829227</v>
      </c>
      <c r="H13" s="21">
        <v>9.4419361625081077E-2</v>
      </c>
      <c r="I13" s="21">
        <v>0.1415043127872592</v>
      </c>
      <c r="J13" s="21">
        <v>0.40495290372408255</v>
      </c>
      <c r="K13" s="21">
        <v>0.5181109724064753</v>
      </c>
      <c r="L13" s="21">
        <v>0.39623804378417377</v>
      </c>
      <c r="M13" s="21">
        <v>0.50216235187808156</v>
      </c>
      <c r="N13" s="21">
        <v>0.99949902220813525</v>
      </c>
      <c r="O13" s="21">
        <v>1.6169151172697447</v>
      </c>
      <c r="P13" s="21">
        <v>2.0339716071906775</v>
      </c>
      <c r="Q13" s="21">
        <v>2.2200688004774998</v>
      </c>
      <c r="R13" s="21">
        <v>2.114097626814861</v>
      </c>
      <c r="S13" s="21">
        <v>2.1639957897258322</v>
      </c>
      <c r="T13" s="21">
        <v>2.4293277246111362</v>
      </c>
      <c r="U13" s="21">
        <v>2.6367143430719322</v>
      </c>
      <c r="V13" s="21">
        <v>3.0675945927944821</v>
      </c>
      <c r="W13" s="21">
        <v>2.6364896001033462</v>
      </c>
      <c r="X13" s="21">
        <v>3.1662295580489266</v>
      </c>
      <c r="Y13" s="21">
        <v>3.238869691641042</v>
      </c>
      <c r="Z13" s="21">
        <v>3.4554404244742911</v>
      </c>
      <c r="AA13" s="21">
        <v>3.4425386085870957</v>
      </c>
    </row>
    <row r="14" spans="1:27" s="18" customFormat="1" x14ac:dyDescent="0.35">
      <c r="A14" s="20" t="s">
        <v>39</v>
      </c>
      <c r="B14" s="21">
        <v>0.39479340874633018</v>
      </c>
      <c r="C14" s="21">
        <v>0.49002851181458074</v>
      </c>
      <c r="D14" s="21">
        <v>0.38759699220178573</v>
      </c>
      <c r="E14" s="21">
        <v>1.2490499165830702</v>
      </c>
      <c r="F14" s="21">
        <v>1.8349169493106221</v>
      </c>
      <c r="G14" s="21">
        <v>1.2709897707001288</v>
      </c>
      <c r="H14" s="21">
        <v>1.0980123603634497</v>
      </c>
      <c r="I14" s="21">
        <v>1.4977876437219599</v>
      </c>
      <c r="J14" s="21">
        <v>2.0529799499921491</v>
      </c>
      <c r="K14" s="21">
        <v>2.1533188992381636</v>
      </c>
      <c r="L14" s="21">
        <v>2.1255178239988721</v>
      </c>
      <c r="M14" s="21">
        <v>2.0745225522728403</v>
      </c>
      <c r="N14" s="21">
        <v>3.4520889866428637</v>
      </c>
      <c r="O14" s="21">
        <v>3.2044667382860914</v>
      </c>
      <c r="P14" s="21">
        <v>3.9265393208685251</v>
      </c>
      <c r="Q14" s="21">
        <v>4.264286811712525</v>
      </c>
      <c r="R14" s="21">
        <v>4.0672226948036077</v>
      </c>
      <c r="S14" s="21">
        <v>4.055923742844862</v>
      </c>
      <c r="T14" s="21">
        <v>4.0427253340766924</v>
      </c>
      <c r="U14" s="21">
        <v>4.2979370699768049</v>
      </c>
      <c r="V14" s="21">
        <v>4.5689330042816358</v>
      </c>
      <c r="W14" s="21">
        <v>3.9249069889015655</v>
      </c>
      <c r="X14" s="21">
        <v>3.7087205609918952</v>
      </c>
      <c r="Y14" s="21">
        <v>4.4713204177500696</v>
      </c>
      <c r="Z14" s="21">
        <v>4.3207617242875243</v>
      </c>
      <c r="AA14" s="21">
        <v>4.3814419552686328</v>
      </c>
    </row>
    <row r="15" spans="1:27" s="18" customFormat="1" x14ac:dyDescent="0.35">
      <c r="A15" s="20" t="s">
        <v>40</v>
      </c>
      <c r="B15" s="21">
        <v>0.12745648718155012</v>
      </c>
      <c r="C15" s="21">
        <v>0.24100501988236359</v>
      </c>
      <c r="D15" s="21">
        <v>0.20151973151548971</v>
      </c>
      <c r="E15" s="21">
        <v>0.25815313315609545</v>
      </c>
      <c r="F15" s="21">
        <v>0.2571359405612062</v>
      </c>
      <c r="G15" s="21">
        <v>0.24489498064048329</v>
      </c>
      <c r="H15" s="21">
        <v>0.10951192083530634</v>
      </c>
      <c r="I15" s="21">
        <v>0.24290216234905213</v>
      </c>
      <c r="J15" s="21">
        <v>0.34335298063410241</v>
      </c>
      <c r="K15" s="21">
        <v>0.41609185751329797</v>
      </c>
      <c r="L15" s="21">
        <v>0.42527714668426814</v>
      </c>
      <c r="M15" s="21">
        <v>0.50905155703253613</v>
      </c>
      <c r="N15" s="21">
        <v>1.2040871760537737</v>
      </c>
      <c r="O15" s="21">
        <v>1.1622018278701878</v>
      </c>
      <c r="P15" s="21">
        <v>1.582678072463519</v>
      </c>
      <c r="Q15" s="21">
        <v>1.8266922142677517</v>
      </c>
      <c r="R15" s="21">
        <v>1.9833949875105406</v>
      </c>
      <c r="S15" s="21">
        <v>1.9541798681787075</v>
      </c>
      <c r="T15" s="21">
        <v>2.1644253872491706</v>
      </c>
      <c r="U15" s="21">
        <v>2.4072299438807385</v>
      </c>
      <c r="V15" s="21">
        <v>2.8405684548839032</v>
      </c>
      <c r="W15" s="21">
        <v>2.5031851195472266</v>
      </c>
      <c r="X15" s="21">
        <v>3.5994414427364791</v>
      </c>
      <c r="Y15" s="21">
        <v>3.3608811841102773</v>
      </c>
      <c r="Z15" s="21">
        <v>4.0506035745636177</v>
      </c>
      <c r="AA15" s="21">
        <v>3.9507247454843202</v>
      </c>
    </row>
    <row r="16" spans="1:27" s="18" customFormat="1" x14ac:dyDescent="0.35">
      <c r="A16" s="25" t="s">
        <v>41</v>
      </c>
      <c r="B16" s="22">
        <v>0.37886428642237591</v>
      </c>
      <c r="C16" s="22">
        <v>0.54131191380417598</v>
      </c>
      <c r="D16" s="22">
        <v>0.52547838216245646</v>
      </c>
      <c r="E16" s="22">
        <v>0.59399560426849685</v>
      </c>
      <c r="F16" s="22">
        <v>0.65948250932128671</v>
      </c>
      <c r="G16" s="22">
        <v>0.37119007939534621</v>
      </c>
      <c r="H16" s="22">
        <v>0.1979013202666689</v>
      </c>
      <c r="I16" s="22">
        <v>0.36690162443220997</v>
      </c>
      <c r="J16" s="22">
        <v>0.56601298702399239</v>
      </c>
      <c r="K16" s="22">
        <v>0.72170149822135254</v>
      </c>
      <c r="L16" s="22">
        <v>0.71420256545154781</v>
      </c>
      <c r="M16" s="22">
        <v>0.73362977874535451</v>
      </c>
      <c r="N16" s="22">
        <v>1.6278588420173385</v>
      </c>
      <c r="O16" s="22">
        <v>1.5817441198987172</v>
      </c>
      <c r="P16" s="22">
        <v>2.1506930467201384</v>
      </c>
      <c r="Q16" s="22">
        <v>2.4510608264148166</v>
      </c>
      <c r="R16" s="22">
        <v>2.5111832418821023</v>
      </c>
      <c r="S16" s="22">
        <v>2.914169298562578</v>
      </c>
      <c r="T16" s="22">
        <v>3.2673063878580009</v>
      </c>
      <c r="U16" s="22">
        <v>3.6696486334984875</v>
      </c>
      <c r="V16" s="22">
        <v>4.1513408709816426</v>
      </c>
      <c r="W16" s="22">
        <v>3.5635322904767341</v>
      </c>
      <c r="X16" s="22">
        <v>4.6651804407677018</v>
      </c>
      <c r="Y16" s="22">
        <v>4.4260121477247791</v>
      </c>
      <c r="Z16" s="22">
        <v>5.3520804055191658</v>
      </c>
      <c r="AA16" s="22">
        <v>5.2130913229497535</v>
      </c>
    </row>
    <row r="17" spans="1:27" s="18" customFormat="1" x14ac:dyDescent="0.35">
      <c r="A17" s="20" t="s">
        <v>42</v>
      </c>
      <c r="B17" s="21">
        <v>2.5817510896076845</v>
      </c>
      <c r="C17" s="21">
        <v>2.9386886431532493</v>
      </c>
      <c r="D17" s="21">
        <v>2.8044393363017077</v>
      </c>
      <c r="E17" s="21">
        <v>2.6485593681784336</v>
      </c>
      <c r="F17" s="21">
        <v>2.5246247497667311</v>
      </c>
      <c r="G17" s="21">
        <v>2.1316526493959671</v>
      </c>
      <c r="H17" s="21">
        <v>1.6004249255173426</v>
      </c>
      <c r="I17" s="21">
        <v>1.9707383069508873</v>
      </c>
      <c r="J17" s="21">
        <v>2.5843930993500006</v>
      </c>
      <c r="K17" s="21">
        <v>2.7266543255768232</v>
      </c>
      <c r="L17" s="21">
        <v>2.5541831440723399</v>
      </c>
      <c r="M17" s="21">
        <v>2.6645186609834934</v>
      </c>
      <c r="N17" s="21">
        <v>3.7415054194489477</v>
      </c>
      <c r="O17" s="21">
        <v>3.2969858649747295</v>
      </c>
      <c r="P17" s="21">
        <v>4.1649405656601424</v>
      </c>
      <c r="Q17" s="21">
        <v>4.3097164392322433</v>
      </c>
      <c r="R17" s="21">
        <v>4.0240592701329279</v>
      </c>
      <c r="S17" s="21">
        <v>4.0909056253182987</v>
      </c>
      <c r="T17" s="21">
        <v>4.6782221102652617</v>
      </c>
      <c r="U17" s="21">
        <v>5.2074332026125481</v>
      </c>
      <c r="V17" s="21">
        <v>6.0691862642430889</v>
      </c>
      <c r="W17" s="21">
        <v>5.2758348449362309</v>
      </c>
      <c r="X17" s="21">
        <v>6.7859110124708133</v>
      </c>
      <c r="Y17" s="21">
        <v>6.1866499625344291</v>
      </c>
      <c r="Z17" s="21">
        <v>6.6224438683316356</v>
      </c>
      <c r="AA17" s="21">
        <v>6.2343109068668889</v>
      </c>
    </row>
    <row r="18" spans="1:27" s="18" customFormat="1" x14ac:dyDescent="0.35">
      <c r="A18" s="20" t="s">
        <v>43</v>
      </c>
      <c r="B18" s="21">
        <v>1.5704511085516608</v>
      </c>
      <c r="C18" s="21">
        <v>1.6354482052563952</v>
      </c>
      <c r="D18" s="21">
        <v>1.5448337030682411</v>
      </c>
      <c r="E18" s="21">
        <v>1.816417799536421</v>
      </c>
      <c r="F18" s="21">
        <v>1.912401211491024</v>
      </c>
      <c r="G18" s="21">
        <v>1.5085382612745153</v>
      </c>
      <c r="H18" s="21">
        <v>1.2691700644733488</v>
      </c>
      <c r="I18" s="21">
        <v>1.7432373633749041</v>
      </c>
      <c r="J18" s="21">
        <v>2.0547122882112125</v>
      </c>
      <c r="K18" s="21">
        <v>2.5583719101547167</v>
      </c>
      <c r="L18" s="21">
        <v>4.0339250214238076</v>
      </c>
      <c r="M18" s="21">
        <v>4.6127501089284619</v>
      </c>
      <c r="N18" s="21">
        <v>9.1369360701800293</v>
      </c>
      <c r="O18" s="21">
        <v>8.2796740528709485</v>
      </c>
      <c r="P18" s="21">
        <v>10.730354452924812</v>
      </c>
      <c r="Q18" s="21">
        <v>10.459863416456963</v>
      </c>
      <c r="R18" s="21">
        <v>9.6881316664011177</v>
      </c>
      <c r="S18" s="21">
        <v>11.24569720855115</v>
      </c>
      <c r="T18" s="21">
        <v>12.435649062552654</v>
      </c>
      <c r="U18" s="21">
        <v>13.390795473864634</v>
      </c>
      <c r="V18" s="21">
        <v>14.078467825161839</v>
      </c>
      <c r="W18" s="21">
        <v>14.49537707067064</v>
      </c>
      <c r="X18" s="21">
        <v>12.741274565592716</v>
      </c>
      <c r="Y18" s="21">
        <v>10.855192105755968</v>
      </c>
      <c r="Z18" s="21">
        <v>13.744877036776776</v>
      </c>
      <c r="AA18" s="21">
        <v>12.239053161632388</v>
      </c>
    </row>
    <row r="19" spans="1:27" s="18" customFormat="1" x14ac:dyDescent="0.35">
      <c r="A19" s="26" t="s">
        <v>6</v>
      </c>
      <c r="B19" s="27">
        <v>100</v>
      </c>
      <c r="C19" s="27">
        <v>100</v>
      </c>
      <c r="D19" s="27">
        <v>100</v>
      </c>
      <c r="E19" s="27">
        <v>100</v>
      </c>
      <c r="F19" s="27">
        <v>100</v>
      </c>
      <c r="G19" s="27">
        <v>100</v>
      </c>
      <c r="H19" s="27">
        <v>100</v>
      </c>
      <c r="I19" s="27">
        <v>100</v>
      </c>
      <c r="J19" s="27">
        <v>100</v>
      </c>
      <c r="K19" s="27">
        <v>100</v>
      </c>
      <c r="L19" s="27">
        <v>100</v>
      </c>
      <c r="M19" s="27">
        <v>100</v>
      </c>
      <c r="N19" s="27">
        <v>100</v>
      </c>
      <c r="O19" s="27">
        <v>100</v>
      </c>
      <c r="P19" s="27">
        <v>100</v>
      </c>
      <c r="Q19" s="27">
        <v>100</v>
      </c>
      <c r="R19" s="27">
        <v>100</v>
      </c>
      <c r="S19" s="27">
        <v>100</v>
      </c>
      <c r="T19" s="27">
        <v>100</v>
      </c>
      <c r="U19" s="27">
        <v>100</v>
      </c>
      <c r="V19" s="27">
        <v>100</v>
      </c>
      <c r="W19" s="27">
        <v>100</v>
      </c>
      <c r="X19" s="27">
        <v>100</v>
      </c>
      <c r="Y19" s="27">
        <v>100</v>
      </c>
      <c r="Z19" s="27">
        <v>100</v>
      </c>
      <c r="AA19" s="27">
        <v>100</v>
      </c>
    </row>
    <row r="20" spans="1:27" s="18" customFormat="1" x14ac:dyDescent="0.35"/>
    <row r="21" spans="1:27" ht="17.149999999999999" customHeight="1" x14ac:dyDescent="0.35">
      <c r="A21" s="2" t="s">
        <v>50</v>
      </c>
      <c r="B21" s="3"/>
      <c r="C21" s="3"/>
      <c r="D21" s="3"/>
      <c r="E21" s="3"/>
      <c r="F21" s="3"/>
      <c r="G21" s="3"/>
      <c r="H21" s="3"/>
      <c r="M21" s="34"/>
      <c r="N21" s="34"/>
    </row>
    <row r="22" spans="1:27" ht="17.149999999999999" customHeight="1" x14ac:dyDescent="0.35">
      <c r="A22" s="2" t="s">
        <v>51</v>
      </c>
      <c r="B22" s="3"/>
      <c r="C22" s="3"/>
      <c r="D22" s="3"/>
      <c r="E22" s="3"/>
      <c r="F22" s="3"/>
      <c r="G22" s="3"/>
      <c r="H22" s="3"/>
    </row>
    <row r="23" spans="1:27" ht="17.149999999999999" customHeight="1" x14ac:dyDescent="0.35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>
        <f>M7+M10</f>
        <v>18.921695705952754</v>
      </c>
      <c r="N23" s="34">
        <f t="shared" ref="N23:AA23" si="0">N7+N10</f>
        <v>24.604255360630315</v>
      </c>
      <c r="O23" s="34">
        <f t="shared" si="0"/>
        <v>18.952332107456694</v>
      </c>
      <c r="P23" s="34">
        <f t="shared" si="0"/>
        <v>21.237092616929232</v>
      </c>
      <c r="Q23" s="34">
        <f t="shared" si="0"/>
        <v>17.870770473366321</v>
      </c>
      <c r="R23" s="34">
        <f t="shared" si="0"/>
        <v>15.779915931750024</v>
      </c>
      <c r="S23" s="34">
        <f t="shared" si="0"/>
        <v>17.667648432160178</v>
      </c>
      <c r="T23" s="34">
        <f t="shared" si="0"/>
        <v>17.553520974846961</v>
      </c>
      <c r="U23" s="34">
        <f t="shared" si="0"/>
        <v>17.174420169838687</v>
      </c>
      <c r="V23" s="34">
        <f t="shared" si="0"/>
        <v>16.918066900874297</v>
      </c>
      <c r="W23" s="34">
        <f t="shared" si="0"/>
        <v>19.651158232846498</v>
      </c>
      <c r="X23" s="34">
        <f t="shared" si="0"/>
        <v>17.439880907316532</v>
      </c>
      <c r="Y23" s="34">
        <f t="shared" si="0"/>
        <v>21.550195339549632</v>
      </c>
      <c r="Z23" s="34">
        <f t="shared" si="0"/>
        <v>19.121020537691965</v>
      </c>
      <c r="AA23" s="34">
        <f t="shared" si="0"/>
        <v>17.517863122412514</v>
      </c>
    </row>
    <row r="24" spans="1:27" x14ac:dyDescent="0.35">
      <c r="A24" s="2" t="s">
        <v>52</v>
      </c>
      <c r="B24" s="35"/>
      <c r="C24" s="34"/>
      <c r="D24" s="35"/>
      <c r="E24" s="35"/>
      <c r="F24" s="34"/>
      <c r="G24" s="35"/>
      <c r="H24" s="35"/>
      <c r="I24" s="34"/>
      <c r="J24" s="34"/>
      <c r="K24" s="34"/>
      <c r="L24" s="34"/>
      <c r="M24" s="34"/>
      <c r="N24" s="34"/>
    </row>
    <row r="25" spans="1:27" x14ac:dyDescent="0.35">
      <c r="A25" s="2" t="s">
        <v>53</v>
      </c>
      <c r="B25" s="35"/>
      <c r="C25" s="34"/>
      <c r="D25" s="35"/>
      <c r="E25" s="35"/>
      <c r="F25" s="34"/>
      <c r="G25" s="35"/>
      <c r="H25" s="35"/>
      <c r="I25" s="34"/>
      <c r="J25" s="34"/>
      <c r="K25" s="34"/>
      <c r="L25" s="34"/>
      <c r="M25" s="34"/>
      <c r="N25" s="34"/>
    </row>
    <row r="26" spans="1:27" x14ac:dyDescent="0.35">
      <c r="A26" s="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45"/>
  <sheetViews>
    <sheetView showWhiteSpace="0" zoomScale="85" zoomScaleNormal="85" workbookViewId="0">
      <selection activeCell="O5" sqref="O5"/>
    </sheetView>
  </sheetViews>
  <sheetFormatPr baseColWidth="10" defaultColWidth="10.453125" defaultRowHeight="17.149999999999999" customHeight="1" x14ac:dyDescent="0.35"/>
  <cols>
    <col min="1" max="1" width="54.81640625" style="2" customWidth="1"/>
    <col min="2" max="15" width="9.26953125" style="2" customWidth="1"/>
    <col min="16" max="16384" width="10.453125" style="2"/>
  </cols>
  <sheetData>
    <row r="1" spans="1:15" ht="17.149999999999999" customHeight="1" x14ac:dyDescent="0.3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5" ht="17.149999999999999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5" ht="17.149999999999999" customHeight="1" x14ac:dyDescent="0.35">
      <c r="A3" s="1"/>
      <c r="B3" s="1"/>
      <c r="C3" s="1"/>
      <c r="D3" s="1"/>
      <c r="E3" s="1"/>
      <c r="F3" s="1"/>
      <c r="G3" s="1"/>
      <c r="H3" s="1"/>
      <c r="I3" s="7"/>
      <c r="J3" s="7"/>
      <c r="K3" s="7"/>
      <c r="L3" s="9"/>
      <c r="N3" s="9"/>
      <c r="O3" s="9" t="s">
        <v>7</v>
      </c>
    </row>
    <row r="4" spans="1:15" ht="17.149999999999999" customHeight="1" x14ac:dyDescent="0.35">
      <c r="A4" s="4" t="s">
        <v>0</v>
      </c>
      <c r="B4" s="15">
        <v>2010</v>
      </c>
      <c r="C4" s="15">
        <v>2011</v>
      </c>
      <c r="D4" s="15">
        <v>2012</v>
      </c>
      <c r="E4" s="15">
        <v>2013</v>
      </c>
      <c r="F4" s="15">
        <v>2014</v>
      </c>
      <c r="G4" s="15">
        <v>2015</v>
      </c>
      <c r="H4" s="15">
        <v>2016</v>
      </c>
      <c r="I4" s="15">
        <v>2017</v>
      </c>
      <c r="J4" s="15">
        <v>2018</v>
      </c>
      <c r="K4" s="15">
        <v>2019</v>
      </c>
      <c r="L4" s="15">
        <v>2020</v>
      </c>
      <c r="M4" s="15">
        <v>2021</v>
      </c>
      <c r="N4" s="15">
        <v>2022</v>
      </c>
      <c r="O4" s="15">
        <v>2023</v>
      </c>
    </row>
    <row r="5" spans="1:15" ht="17.149999999999999" customHeight="1" x14ac:dyDescent="0.35">
      <c r="A5" s="4" t="s">
        <v>8</v>
      </c>
      <c r="B5" s="8">
        <v>0.71974865154709899</v>
      </c>
      <c r="C5" s="8">
        <v>0.56374129195588973</v>
      </c>
      <c r="D5" s="8">
        <v>0.6448953619962412</v>
      </c>
      <c r="E5" s="8">
        <v>0.67181516943488317</v>
      </c>
      <c r="F5" s="8">
        <v>0.84967042731094899</v>
      </c>
      <c r="G5" s="8">
        <v>1.0826802349400266</v>
      </c>
      <c r="H5" s="8">
        <v>1.1862284920497475</v>
      </c>
      <c r="I5" s="8">
        <v>1.0687302028201253</v>
      </c>
      <c r="J5" s="8">
        <v>1.00161557128374</v>
      </c>
      <c r="K5" s="8">
        <v>0.96977286225244286</v>
      </c>
      <c r="L5" s="8">
        <v>1.1959578919186531</v>
      </c>
      <c r="M5" s="8">
        <v>1.2366702123966267</v>
      </c>
      <c r="N5" s="8">
        <v>1.0795149503527695</v>
      </c>
      <c r="O5" s="8">
        <v>1.1744043155272612</v>
      </c>
    </row>
    <row r="6" spans="1:15" ht="17.149999999999999" customHeight="1" x14ac:dyDescent="0.35">
      <c r="A6" s="5" t="s">
        <v>14</v>
      </c>
      <c r="B6" s="12">
        <v>9.7324252977026918E-2</v>
      </c>
      <c r="C6" s="12">
        <v>8.2170437352361361E-2</v>
      </c>
      <c r="D6" s="12">
        <v>0.10774227037584223</v>
      </c>
      <c r="E6" s="12">
        <v>8.9760822242632196E-2</v>
      </c>
      <c r="F6" s="12">
        <v>0.11028464039243202</v>
      </c>
      <c r="G6" s="12">
        <v>0.14388952452939588</v>
      </c>
      <c r="H6" s="12">
        <v>0.1540114849101778</v>
      </c>
      <c r="I6" s="12">
        <v>0.16341258803274655</v>
      </c>
      <c r="J6" s="12">
        <v>0.1574671984931339</v>
      </c>
      <c r="K6" s="12">
        <v>0.14011842904897653</v>
      </c>
      <c r="L6" s="12">
        <v>0.15426063241116161</v>
      </c>
      <c r="M6" s="12">
        <v>0.14666774709050462</v>
      </c>
      <c r="N6" s="12">
        <v>0.11734661194913218</v>
      </c>
      <c r="O6" s="12">
        <v>0.14928494916293886</v>
      </c>
    </row>
    <row r="7" spans="1:15" ht="17.149999999999999" customHeight="1" x14ac:dyDescent="0.35">
      <c r="A7" s="5" t="s">
        <v>32</v>
      </c>
      <c r="B7" s="12">
        <v>0.27156732361604125</v>
      </c>
      <c r="C7" s="12">
        <v>0.23974859653253552</v>
      </c>
      <c r="D7" s="12">
        <v>0.25764396331631562</v>
      </c>
      <c r="E7" s="12">
        <v>0.26661458425224671</v>
      </c>
      <c r="F7" s="12">
        <v>0.29275215641155589</v>
      </c>
      <c r="G7" s="12">
        <v>0.34779560583020364</v>
      </c>
      <c r="H7" s="12">
        <v>0.41211451654834208</v>
      </c>
      <c r="I7" s="12">
        <v>0.3658579749508416</v>
      </c>
      <c r="J7" s="12">
        <v>0.36944087305459744</v>
      </c>
      <c r="K7" s="12">
        <v>0.33738246755188828</v>
      </c>
      <c r="L7" s="12">
        <v>0.41041076954265665</v>
      </c>
      <c r="M7" s="12">
        <v>0.4145412885952291</v>
      </c>
      <c r="N7" s="12">
        <v>0.36969315754687831</v>
      </c>
      <c r="O7" s="12">
        <v>0.40886970664776895</v>
      </c>
    </row>
    <row r="8" spans="1:15" ht="17.149999999999999" customHeight="1" x14ac:dyDescent="0.35">
      <c r="A8" s="5" t="s">
        <v>1</v>
      </c>
      <c r="B8" s="10">
        <v>8.8051718521706693E-2</v>
      </c>
      <c r="C8" s="10">
        <v>6.1788144313771262E-2</v>
      </c>
      <c r="D8" s="10">
        <v>5.7896564483384406E-2</v>
      </c>
      <c r="E8" s="10">
        <v>6.6834315278898812E-2</v>
      </c>
      <c r="F8" s="10">
        <v>0.17487535462773254</v>
      </c>
      <c r="G8" s="10">
        <v>0.18473907619415314</v>
      </c>
      <c r="H8" s="10">
        <v>0.2261562750985365</v>
      </c>
      <c r="I8" s="10">
        <v>0.15885611043024817</v>
      </c>
      <c r="J8" s="10">
        <v>0.14309335117239613</v>
      </c>
      <c r="K8" s="10">
        <v>0.17494750178795113</v>
      </c>
      <c r="L8" s="10">
        <v>0.15132521562684306</v>
      </c>
      <c r="M8" s="10">
        <v>0.1375193485538149</v>
      </c>
      <c r="N8" s="10">
        <v>9.2000345656679375E-2</v>
      </c>
      <c r="O8" s="10">
        <v>0.11738782624736305</v>
      </c>
    </row>
    <row r="9" spans="1:15" ht="17.149999999999999" customHeight="1" x14ac:dyDescent="0.35">
      <c r="A9" s="5" t="s">
        <v>2</v>
      </c>
      <c r="B9" s="10">
        <v>0.26280535643232411</v>
      </c>
      <c r="C9" s="10">
        <v>0.18003411375722153</v>
      </c>
      <c r="D9" s="10">
        <v>0.22161256382069897</v>
      </c>
      <c r="E9" s="10">
        <v>0.24860544766110543</v>
      </c>
      <c r="F9" s="10">
        <v>0.27175827587922852</v>
      </c>
      <c r="G9" s="10">
        <v>0.40625602838627395</v>
      </c>
      <c r="H9" s="10">
        <v>0.3939462154926911</v>
      </c>
      <c r="I9" s="10">
        <v>0.38060352940628911</v>
      </c>
      <c r="J9" s="10">
        <v>0.3316141485636126</v>
      </c>
      <c r="K9" s="10">
        <v>0.31732446386362695</v>
      </c>
      <c r="L9" s="10">
        <v>0.47996127433799174</v>
      </c>
      <c r="M9" s="10">
        <v>0.53794182815707792</v>
      </c>
      <c r="N9" s="10">
        <v>0.50047483520007974</v>
      </c>
      <c r="O9" s="10">
        <v>0.49886183346919027</v>
      </c>
    </row>
    <row r="10" spans="1:15" ht="17.149999999999999" customHeight="1" x14ac:dyDescent="0.35">
      <c r="A10" s="4" t="s">
        <v>9</v>
      </c>
      <c r="B10" s="11">
        <v>67.380040139854671</v>
      </c>
      <c r="C10" s="11">
        <v>72.510427298418392</v>
      </c>
      <c r="D10" s="11">
        <v>71.517671158548012</v>
      </c>
      <c r="E10" s="11">
        <v>68.680926478628834</v>
      </c>
      <c r="F10" s="11">
        <v>66.815004533265451</v>
      </c>
      <c r="G10" s="11">
        <v>60.220737223848438</v>
      </c>
      <c r="H10" s="11">
        <v>56.459933326690233</v>
      </c>
      <c r="I10" s="11">
        <v>58.746503849830447</v>
      </c>
      <c r="J10" s="11">
        <v>62.248818775964622</v>
      </c>
      <c r="K10" s="11">
        <v>61.483036530275385</v>
      </c>
      <c r="L10" s="11">
        <v>58.087196407834817</v>
      </c>
      <c r="M10" s="11">
        <v>61.722339712264628</v>
      </c>
      <c r="N10" s="11">
        <v>66.894126011091842</v>
      </c>
      <c r="O10" s="11">
        <v>60.738412241291819</v>
      </c>
    </row>
    <row r="11" spans="1:15" ht="17.149999999999999" customHeight="1" x14ac:dyDescent="0.35">
      <c r="A11" s="13" t="s">
        <v>15</v>
      </c>
      <c r="B11" s="10">
        <v>50.278496621477956</v>
      </c>
      <c r="C11" s="10">
        <v>53.880185836417269</v>
      </c>
      <c r="D11" s="10">
        <v>52.338009661192039</v>
      </c>
      <c r="E11" s="10">
        <v>49.494077255529248</v>
      </c>
      <c r="F11" s="10">
        <v>48.341936186088326</v>
      </c>
      <c r="G11" s="10">
        <v>42.710177035102859</v>
      </c>
      <c r="H11" s="10">
        <v>41.734100726150061</v>
      </c>
      <c r="I11" s="10">
        <v>42.872994242024355</v>
      </c>
      <c r="J11" s="10">
        <v>44.975592997445254</v>
      </c>
      <c r="K11" s="10">
        <v>44.657605005894915</v>
      </c>
      <c r="L11" s="10">
        <v>38.634253371694186</v>
      </c>
      <c r="M11" s="10">
        <v>40.101199550658883</v>
      </c>
      <c r="N11" s="10">
        <v>42.382388264747838</v>
      </c>
      <c r="O11" s="10">
        <v>39.237782680525136</v>
      </c>
    </row>
    <row r="12" spans="1:15" ht="17.149999999999999" customHeight="1" x14ac:dyDescent="0.35">
      <c r="A12" s="13" t="s">
        <v>16</v>
      </c>
      <c r="B12" s="10">
        <v>13.786210074975475</v>
      </c>
      <c r="C12" s="10">
        <v>15.527306770088899</v>
      </c>
      <c r="D12" s="10">
        <v>15.636486906907789</v>
      </c>
      <c r="E12" s="10">
        <v>15.310086693453048</v>
      </c>
      <c r="F12" s="10">
        <v>14.979972805635985</v>
      </c>
      <c r="G12" s="10">
        <v>13.153123891136028</v>
      </c>
      <c r="H12" s="10">
        <v>10.113161836633997</v>
      </c>
      <c r="I12" s="10">
        <v>11.35848407422916</v>
      </c>
      <c r="J12" s="10">
        <v>12.726077055656495</v>
      </c>
      <c r="K12" s="10">
        <v>12.299850732417212</v>
      </c>
      <c r="L12" s="10">
        <v>14.242225217755237</v>
      </c>
      <c r="M12" s="10">
        <v>16.971231993944208</v>
      </c>
      <c r="N12" s="10">
        <v>20.732208370192922</v>
      </c>
      <c r="O12" s="10">
        <v>16.948920419379895</v>
      </c>
    </row>
    <row r="13" spans="1:15" ht="17.149999999999999" customHeight="1" x14ac:dyDescent="0.35">
      <c r="A13" s="13" t="s">
        <v>17</v>
      </c>
      <c r="B13" s="10">
        <v>0.15574855207203997</v>
      </c>
      <c r="C13" s="10">
        <v>0.11882267072885816</v>
      </c>
      <c r="D13" s="10">
        <v>0.13820061730082336</v>
      </c>
      <c r="E13" s="10">
        <v>0.15187653568795961</v>
      </c>
      <c r="F13" s="10">
        <v>0.1633548765224693</v>
      </c>
      <c r="G13" s="10">
        <v>0.1980520875842936</v>
      </c>
      <c r="H13" s="10">
        <v>0.21449527513315059</v>
      </c>
      <c r="I13" s="10">
        <v>0.19953425847497605</v>
      </c>
      <c r="J13" s="10">
        <v>0.16600462345372713</v>
      </c>
      <c r="K13" s="10">
        <v>0.16939463053696263</v>
      </c>
      <c r="L13" s="10">
        <v>0.16574354518027798</v>
      </c>
      <c r="M13" s="10">
        <v>0.16216875951590853</v>
      </c>
      <c r="N13" s="10">
        <v>0.13690543270258551</v>
      </c>
      <c r="O13" s="10">
        <v>0.18134669081368426</v>
      </c>
    </row>
    <row r="14" spans="1:15" ht="17.149999999999999" customHeight="1" x14ac:dyDescent="0.35">
      <c r="A14" s="13" t="s">
        <v>18</v>
      </c>
      <c r="B14" s="10">
        <v>0.12727309912021254</v>
      </c>
      <c r="C14" s="10">
        <v>0.11975449118687585</v>
      </c>
      <c r="D14" s="10">
        <v>0.13326519177009533</v>
      </c>
      <c r="E14" s="10">
        <v>0.1325009190521601</v>
      </c>
      <c r="F14" s="10">
        <v>0.12985342869890729</v>
      </c>
      <c r="G14" s="10">
        <v>0.16243742043530801</v>
      </c>
      <c r="H14" s="10">
        <v>0.16498616723612047</v>
      </c>
      <c r="I14" s="10">
        <v>0.1623592629857164</v>
      </c>
      <c r="J14" s="10">
        <v>0.14394408776578022</v>
      </c>
      <c r="K14" s="10">
        <v>0.13902136414123059</v>
      </c>
      <c r="L14" s="10">
        <v>0.19142213562274391</v>
      </c>
      <c r="M14" s="10">
        <v>0.21126207203616304</v>
      </c>
      <c r="N14" s="10">
        <v>0.17986550348714248</v>
      </c>
      <c r="O14" s="10">
        <v>0.20643043687191984</v>
      </c>
    </row>
    <row r="15" spans="1:15" ht="17.149999999999999" customHeight="1" x14ac:dyDescent="0.35">
      <c r="A15" s="13" t="s">
        <v>19</v>
      </c>
      <c r="B15" s="10">
        <v>0.56158218168975704</v>
      </c>
      <c r="C15" s="10">
        <v>0.40907495998652194</v>
      </c>
      <c r="D15" s="10">
        <v>0.45414996920260331</v>
      </c>
      <c r="E15" s="10">
        <v>0.58780720460878999</v>
      </c>
      <c r="F15" s="10">
        <v>0.60918558903004139</v>
      </c>
      <c r="G15" s="10">
        <v>0.74373591780984905</v>
      </c>
      <c r="H15" s="10">
        <v>0.8022469608446835</v>
      </c>
      <c r="I15" s="10">
        <v>0.73135874181034588</v>
      </c>
      <c r="J15" s="10">
        <v>0.80880782717994804</v>
      </c>
      <c r="K15" s="10">
        <v>0.7693460366468946</v>
      </c>
      <c r="L15" s="10">
        <v>0.89140285691775145</v>
      </c>
      <c r="M15" s="10">
        <v>0.88057932457348242</v>
      </c>
      <c r="N15" s="10">
        <v>0.73881880371563891</v>
      </c>
      <c r="O15" s="10">
        <v>0.96106755855705317</v>
      </c>
    </row>
    <row r="16" spans="1:15" ht="17.149999999999999" customHeight="1" x14ac:dyDescent="0.35">
      <c r="A16" s="5" t="s">
        <v>11</v>
      </c>
      <c r="B16" s="10">
        <v>0.69161401652171983</v>
      </c>
      <c r="C16" s="10">
        <v>0.55487146486841943</v>
      </c>
      <c r="D16" s="10">
        <v>0.55414403108091981</v>
      </c>
      <c r="E16" s="10">
        <v>0.59651068601439983</v>
      </c>
      <c r="F16" s="10">
        <v>0.65668098502967631</v>
      </c>
      <c r="G16" s="10">
        <v>0.81848063247642933</v>
      </c>
      <c r="H16" s="10">
        <v>0.97076279862393455</v>
      </c>
      <c r="I16" s="10">
        <v>0.94600405885049277</v>
      </c>
      <c r="J16" s="10">
        <v>0.97163031512078435</v>
      </c>
      <c r="K16" s="10">
        <v>1.0040575910541985</v>
      </c>
      <c r="L16" s="10">
        <v>1.0915345609659592</v>
      </c>
      <c r="M16" s="10">
        <v>0.99124821583588196</v>
      </c>
      <c r="N16" s="10">
        <v>0.81248895518336239</v>
      </c>
      <c r="O16" s="10">
        <v>0.90309008465592622</v>
      </c>
    </row>
    <row r="17" spans="1:15" ht="17.149999999999999" customHeight="1" x14ac:dyDescent="0.35">
      <c r="A17" s="5" t="s">
        <v>3</v>
      </c>
      <c r="B17" s="10">
        <v>1.7791155939974996</v>
      </c>
      <c r="C17" s="10">
        <v>1.9004111051415369</v>
      </c>
      <c r="D17" s="10">
        <v>2.2634147810937404</v>
      </c>
      <c r="E17" s="10">
        <v>2.4080671842832313</v>
      </c>
      <c r="F17" s="10">
        <v>1.9340206622600453</v>
      </c>
      <c r="G17" s="10">
        <v>2.4347302393036658</v>
      </c>
      <c r="H17" s="10">
        <v>2.4601795620682756</v>
      </c>
      <c r="I17" s="10">
        <v>2.475769211455404</v>
      </c>
      <c r="J17" s="10">
        <v>2.4567618693426314</v>
      </c>
      <c r="K17" s="10">
        <v>2.4437611695839725</v>
      </c>
      <c r="L17" s="10">
        <v>2.8706147196986636</v>
      </c>
      <c r="M17" s="10">
        <v>2.4046497957000987</v>
      </c>
      <c r="N17" s="10">
        <v>1.9114506810623475</v>
      </c>
      <c r="O17" s="10">
        <v>2.2997743704882003</v>
      </c>
    </row>
    <row r="18" spans="1:15" ht="17.149999999999999" customHeight="1" x14ac:dyDescent="0.35">
      <c r="A18" s="4" t="s">
        <v>10</v>
      </c>
      <c r="B18" s="11">
        <v>31.900211208598275</v>
      </c>
      <c r="C18" s="11">
        <v>26.925831409625751</v>
      </c>
      <c r="D18" s="11">
        <v>27.83743347945574</v>
      </c>
      <c r="E18" s="11">
        <v>30.647258351936273</v>
      </c>
      <c r="F18" s="11">
        <v>32.33532503942358</v>
      </c>
      <c r="G18" s="11">
        <v>38.696582541211541</v>
      </c>
      <c r="H18" s="11">
        <v>42.353838181260045</v>
      </c>
      <c r="I18" s="11">
        <v>40.184765947349412</v>
      </c>
      <c r="J18" s="11">
        <v>36.749565652751627</v>
      </c>
      <c r="K18" s="11">
        <v>37.547190607472132</v>
      </c>
      <c r="L18" s="11">
        <v>40.71684570024653</v>
      </c>
      <c r="M18" s="11">
        <v>37.040990075338726</v>
      </c>
      <c r="N18" s="11">
        <v>32.026359038555412</v>
      </c>
      <c r="O18" s="11">
        <v>38.08718344318094</v>
      </c>
    </row>
    <row r="19" spans="1:15" ht="17.149999999999999" customHeight="1" x14ac:dyDescent="0.35">
      <c r="A19" s="13" t="s">
        <v>12</v>
      </c>
      <c r="B19" s="10">
        <v>3.9624134950688417</v>
      </c>
      <c r="C19" s="10">
        <v>3.4316303151650693</v>
      </c>
      <c r="D19" s="10">
        <v>3.6828902810557831</v>
      </c>
      <c r="E19" s="10">
        <v>4.1259249617995275</v>
      </c>
      <c r="F19" s="10">
        <v>4.1637005354605527</v>
      </c>
      <c r="G19" s="10">
        <v>4.9682393198192214</v>
      </c>
      <c r="H19" s="10">
        <v>5.4002649424417033</v>
      </c>
      <c r="I19" s="10">
        <v>5.0990477612525327</v>
      </c>
      <c r="J19" s="10">
        <v>4.7786201064694733</v>
      </c>
      <c r="K19" s="10">
        <v>5.0424535305838205</v>
      </c>
      <c r="L19" s="10">
        <v>5.8639485770038657</v>
      </c>
      <c r="M19" s="10">
        <v>5.5719532669617902</v>
      </c>
      <c r="N19" s="10">
        <v>4.9222853048178052</v>
      </c>
      <c r="O19" s="10">
        <v>5.6308255227305262</v>
      </c>
    </row>
    <row r="20" spans="1:15" ht="17.149999999999999" customHeight="1" x14ac:dyDescent="0.35">
      <c r="A20" s="13" t="s">
        <v>30</v>
      </c>
      <c r="B20" s="10">
        <v>0.10413056770119751</v>
      </c>
      <c r="C20" s="10">
        <v>5.2780376254937963E-2</v>
      </c>
      <c r="D20" s="10">
        <v>5.7354475073370333E-2</v>
      </c>
      <c r="E20" s="10">
        <v>6.1664541633696307E-2</v>
      </c>
      <c r="F20" s="10">
        <v>6.2877854745808093E-2</v>
      </c>
      <c r="G20" s="10">
        <v>7.1049564615995223E-2</v>
      </c>
      <c r="H20" s="10">
        <v>7.2482592241073424E-2</v>
      </c>
      <c r="I20" s="10">
        <v>6.6671707381386475E-2</v>
      </c>
      <c r="J20" s="10">
        <v>5.9393050739205457E-2</v>
      </c>
      <c r="K20" s="10">
        <v>5.6429132629342495E-2</v>
      </c>
      <c r="L20" s="10">
        <v>4.8773091097126853E-2</v>
      </c>
      <c r="M20" s="10">
        <v>4.9356700122438708E-2</v>
      </c>
      <c r="N20" s="10">
        <v>4.3640659311380642E-2</v>
      </c>
      <c r="O20" s="10">
        <v>4.75102971868792E-2</v>
      </c>
    </row>
    <row r="21" spans="1:15" ht="17.149999999999999" customHeight="1" x14ac:dyDescent="0.35">
      <c r="A21" s="13" t="s">
        <v>29</v>
      </c>
      <c r="B21" s="10">
        <v>0.67316224012012804</v>
      </c>
      <c r="C21" s="10">
        <v>0.47682576019696216</v>
      </c>
      <c r="D21" s="10">
        <v>0.62139658733988223</v>
      </c>
      <c r="E21" s="10">
        <v>0.83288550859513477</v>
      </c>
      <c r="F21" s="10">
        <v>0.77280716409911787</v>
      </c>
      <c r="G21" s="10">
        <v>0.90090994869742036</v>
      </c>
      <c r="H21" s="10">
        <v>0.9145775785937782</v>
      </c>
      <c r="I21" s="10">
        <v>0.97352555315037381</v>
      </c>
      <c r="J21" s="10">
        <v>0.85717591524582737</v>
      </c>
      <c r="K21" s="10">
        <v>0.92911385303470184</v>
      </c>
      <c r="L21" s="10">
        <v>1.1095740236712142</v>
      </c>
      <c r="M21" s="10">
        <v>0.90378006639361097</v>
      </c>
      <c r="N21" s="10">
        <v>0.74128426466364894</v>
      </c>
      <c r="O21" s="10">
        <v>0.83133392536158279</v>
      </c>
    </row>
    <row r="22" spans="1:15" ht="17.149999999999999" customHeight="1" x14ac:dyDescent="0.35">
      <c r="A22" s="13" t="s">
        <v>28</v>
      </c>
      <c r="B22" s="10">
        <v>0.36784382431511931</v>
      </c>
      <c r="C22" s="10">
        <v>0.28600544833255342</v>
      </c>
      <c r="D22" s="10">
        <v>0.23248830888693436</v>
      </c>
      <c r="E22" s="10">
        <v>0.23409925712236512</v>
      </c>
      <c r="F22" s="10">
        <v>0.22558410781277136</v>
      </c>
      <c r="G22" s="10">
        <v>0.28056490210264351</v>
      </c>
      <c r="H22" s="10">
        <v>0.29703429942608534</v>
      </c>
      <c r="I22" s="10">
        <v>0.28082362231063945</v>
      </c>
      <c r="J22" s="10">
        <v>0.2689165955033474</v>
      </c>
      <c r="K22" s="10">
        <v>0.28823884303660985</v>
      </c>
      <c r="L22" s="10">
        <v>7.866737084706088E-2</v>
      </c>
      <c r="M22" s="10">
        <v>6.561510710103155E-2</v>
      </c>
      <c r="N22" s="10">
        <v>0.16215836200452236</v>
      </c>
      <c r="O22" s="10">
        <v>0.28018391119126529</v>
      </c>
    </row>
    <row r="23" spans="1:15" ht="17.149999999999999" customHeight="1" x14ac:dyDescent="0.35">
      <c r="A23" s="13" t="s">
        <v>27</v>
      </c>
      <c r="B23" s="10">
        <v>0.38647031561359257</v>
      </c>
      <c r="C23" s="10">
        <v>0.33455299993963483</v>
      </c>
      <c r="D23" s="10">
        <v>0.4476535722878634</v>
      </c>
      <c r="E23" s="10">
        <v>0.55400527460669979</v>
      </c>
      <c r="F23" s="10">
        <v>0.62397393616451113</v>
      </c>
      <c r="G23" s="10">
        <v>0.61380858229859703</v>
      </c>
      <c r="H23" s="10">
        <v>0.57415167589442195</v>
      </c>
      <c r="I23" s="10">
        <v>0.50536524862452881</v>
      </c>
      <c r="J23" s="10">
        <v>0.46273203215437692</v>
      </c>
      <c r="K23" s="10">
        <v>0.46827195401406901</v>
      </c>
      <c r="L23" s="10">
        <v>0.39965541235406288</v>
      </c>
      <c r="M23" s="10">
        <v>0.37392289199918521</v>
      </c>
      <c r="N23" s="10">
        <v>0.36502383161341284</v>
      </c>
      <c r="O23" s="10">
        <v>0.45945307109791023</v>
      </c>
    </row>
    <row r="24" spans="1:15" ht="17.149999999999999" customHeight="1" x14ac:dyDescent="0.35">
      <c r="A24" s="13" t="s">
        <v>4</v>
      </c>
      <c r="B24" s="10">
        <v>1.3344154626566211</v>
      </c>
      <c r="C24" s="10">
        <v>1.1637856274872771</v>
      </c>
      <c r="D24" s="10">
        <v>1.1751889422897808</v>
      </c>
      <c r="E24" s="10">
        <v>1.2377347129184093</v>
      </c>
      <c r="F24" s="10">
        <v>1.2749248749554885</v>
      </c>
      <c r="G24" s="10">
        <v>1.4265580619455824</v>
      </c>
      <c r="H24" s="10">
        <v>1.6741105545423753</v>
      </c>
      <c r="I24" s="10">
        <v>1.6051595006083295</v>
      </c>
      <c r="J24" s="10">
        <v>1.4189985438789698</v>
      </c>
      <c r="K24" s="10">
        <v>1.3787187613482785</v>
      </c>
      <c r="L24" s="10">
        <v>1.8714077121564663</v>
      </c>
      <c r="M24" s="10">
        <v>1.7492487597628763</v>
      </c>
      <c r="N24" s="10">
        <v>1.4796910704489539</v>
      </c>
      <c r="O24" s="10">
        <v>1.7355741392022117</v>
      </c>
    </row>
    <row r="25" spans="1:15" ht="17.149999999999999" customHeight="1" x14ac:dyDescent="0.35">
      <c r="A25" s="13" t="s">
        <v>5</v>
      </c>
      <c r="B25" s="10">
        <v>3.9887238184036415</v>
      </c>
      <c r="C25" s="10">
        <v>3.3530454260295364</v>
      </c>
      <c r="D25" s="10">
        <v>3.5728008596916432</v>
      </c>
      <c r="E25" s="10">
        <v>3.9496736596564288</v>
      </c>
      <c r="F25" s="10">
        <v>4.1113018765810017</v>
      </c>
      <c r="G25" s="10">
        <v>5.1005414937273041</v>
      </c>
      <c r="H25" s="10">
        <v>6.3250352145305859</v>
      </c>
      <c r="I25" s="10">
        <v>5.9964046677458773</v>
      </c>
      <c r="J25" s="10">
        <v>4.9909914845386689</v>
      </c>
      <c r="K25" s="10">
        <v>5.2958623680545145</v>
      </c>
      <c r="L25" s="10">
        <v>5.5004781757365988</v>
      </c>
      <c r="M25" s="10">
        <v>4.8917374743722846</v>
      </c>
      <c r="N25" s="10">
        <v>4.2584645557923633</v>
      </c>
      <c r="O25" s="10">
        <v>6.2067545402901843</v>
      </c>
    </row>
    <row r="26" spans="1:15" ht="17.149999999999999" customHeight="1" x14ac:dyDescent="0.35">
      <c r="A26" s="13" t="s">
        <v>13</v>
      </c>
      <c r="B26" s="10">
        <v>3.2549280279075652</v>
      </c>
      <c r="C26" s="10">
        <v>2.6768557575103245</v>
      </c>
      <c r="D26" s="10">
        <v>2.682960985103982</v>
      </c>
      <c r="E26" s="10">
        <v>2.8779011599857593</v>
      </c>
      <c r="F26" s="10">
        <v>3.0382001679004302</v>
      </c>
      <c r="G26" s="10">
        <v>4.0732146222168408</v>
      </c>
      <c r="H26" s="10">
        <v>4.063940194774819</v>
      </c>
      <c r="I26" s="10">
        <v>3.9170318077819815</v>
      </c>
      <c r="J26" s="10">
        <v>3.6100182829545231</v>
      </c>
      <c r="K26" s="10">
        <v>3.4282691138328372</v>
      </c>
      <c r="L26" s="10">
        <v>3.7210986460516398</v>
      </c>
      <c r="M26" s="10">
        <v>3.2322734807404627</v>
      </c>
      <c r="N26" s="10">
        <v>2.7208999851087161</v>
      </c>
      <c r="O26" s="10">
        <v>2.9987588805341683</v>
      </c>
    </row>
    <row r="27" spans="1:15" ht="17.149999999999999" customHeight="1" x14ac:dyDescent="0.35">
      <c r="A27" s="13" t="s">
        <v>26</v>
      </c>
      <c r="B27" s="10">
        <v>0.12239535282311811</v>
      </c>
      <c r="C27" s="10">
        <v>0.10056217650585834</v>
      </c>
      <c r="D27" s="10">
        <v>9.0444247881701856E-2</v>
      </c>
      <c r="E27" s="10">
        <v>0.12426304015197623</v>
      </c>
      <c r="F27" s="10">
        <v>0.10568356722003099</v>
      </c>
      <c r="G27" s="10">
        <v>0.11709033645299677</v>
      </c>
      <c r="H27" s="10">
        <v>0.11734653511820466</v>
      </c>
      <c r="I27" s="10">
        <v>0.11914510947760812</v>
      </c>
      <c r="J27" s="10">
        <v>0.11422698365138599</v>
      </c>
      <c r="K27" s="10">
        <v>0.13217986363159093</v>
      </c>
      <c r="L27" s="10">
        <v>0.10556631024386841</v>
      </c>
      <c r="M27" s="10">
        <v>9.7120335186364939E-2</v>
      </c>
      <c r="N27" s="10">
        <v>8.6279247919063551E-2</v>
      </c>
      <c r="O27" s="10">
        <v>0.10514629550085948</v>
      </c>
    </row>
    <row r="28" spans="1:15" ht="17.149999999999999" customHeight="1" x14ac:dyDescent="0.35">
      <c r="A28" s="13" t="s">
        <v>25</v>
      </c>
      <c r="B28" s="10">
        <v>0.66115598558394229</v>
      </c>
      <c r="C28" s="10">
        <v>0.56894991105714399</v>
      </c>
      <c r="D28" s="10">
        <v>0.58635182597130442</v>
      </c>
      <c r="E28" s="10">
        <v>0.67301343634022448</v>
      </c>
      <c r="F28" s="10">
        <v>0.73381597843371871</v>
      </c>
      <c r="G28" s="10">
        <v>0.89882414628014529</v>
      </c>
      <c r="H28" s="10">
        <v>1.0006488949067787</v>
      </c>
      <c r="I28" s="10">
        <v>0.96354073116935668</v>
      </c>
      <c r="J28" s="10">
        <v>0.9175657568584511</v>
      </c>
      <c r="K28" s="10">
        <v>0.984764309882874</v>
      </c>
      <c r="L28" s="10">
        <v>1.0329344935412974</v>
      </c>
      <c r="M28" s="10">
        <v>0.97848736945350501</v>
      </c>
      <c r="N28" s="10">
        <v>0.93568464264878659</v>
      </c>
      <c r="O28" s="10">
        <v>1.1616379155259196</v>
      </c>
    </row>
    <row r="29" spans="1:15" ht="17.149999999999999" customHeight="1" x14ac:dyDescent="0.35">
      <c r="A29" s="13" t="s">
        <v>24</v>
      </c>
      <c r="B29" s="10">
        <v>1.1156982543113567</v>
      </c>
      <c r="C29" s="10">
        <v>0.94270963536379238</v>
      </c>
      <c r="D29" s="10">
        <v>0.96351206750100726</v>
      </c>
      <c r="E29" s="10">
        <v>1.0902795270864618</v>
      </c>
      <c r="F29" s="10">
        <v>1.2229713733917695</v>
      </c>
      <c r="G29" s="10">
        <v>1.4737974672819347</v>
      </c>
      <c r="H29" s="10">
        <v>1.6038463481015306</v>
      </c>
      <c r="I29" s="10">
        <v>1.5244515468647091</v>
      </c>
      <c r="J29" s="10">
        <v>1.4369585753607041</v>
      </c>
      <c r="K29" s="10">
        <v>1.5580575667647452</v>
      </c>
      <c r="L29" s="10">
        <v>1.77878078570055</v>
      </c>
      <c r="M29" s="10">
        <v>1.6343540626665845</v>
      </c>
      <c r="N29" s="10">
        <v>1.4023206785566189</v>
      </c>
      <c r="O29" s="10">
        <v>1.6803551666053671</v>
      </c>
    </row>
    <row r="30" spans="1:15" ht="17.149999999999999" customHeight="1" x14ac:dyDescent="0.35">
      <c r="A30" s="13" t="s">
        <v>23</v>
      </c>
      <c r="B30" s="10">
        <v>2.7231150869164793</v>
      </c>
      <c r="C30" s="10">
        <v>2.2658758453970274</v>
      </c>
      <c r="D30" s="10">
        <v>2.2632473924428669</v>
      </c>
      <c r="E30" s="10">
        <v>2.4046224625400452</v>
      </c>
      <c r="F30" s="10">
        <v>2.5996200383568833</v>
      </c>
      <c r="G30" s="10">
        <v>3.5172136637063929</v>
      </c>
      <c r="H30" s="10">
        <v>3.9317527240703809</v>
      </c>
      <c r="I30" s="10">
        <v>3.555577660670294</v>
      </c>
      <c r="J30" s="10">
        <v>3.283766609084092</v>
      </c>
      <c r="K30" s="10">
        <v>3.291292187974975</v>
      </c>
      <c r="L30" s="10">
        <v>3.1451970585030526</v>
      </c>
      <c r="M30" s="10">
        <v>2.7742210703070209</v>
      </c>
      <c r="N30" s="10">
        <v>2.2817757677606534</v>
      </c>
      <c r="O30" s="10">
        <v>2.6325719889796679</v>
      </c>
    </row>
    <row r="31" spans="1:15" ht="17.149999999999999" customHeight="1" x14ac:dyDescent="0.35">
      <c r="A31" s="13" t="s">
        <v>22</v>
      </c>
      <c r="B31" s="10">
        <v>1.8551251035826306</v>
      </c>
      <c r="C31" s="10">
        <v>1.6448316300610708</v>
      </c>
      <c r="D31" s="10">
        <v>1.9129677388603297</v>
      </c>
      <c r="E31" s="10">
        <v>2.2928994292421745</v>
      </c>
      <c r="F31" s="10">
        <v>2.2259202907212527</v>
      </c>
      <c r="G31" s="10">
        <v>2.4476324390126023</v>
      </c>
      <c r="H31" s="10">
        <v>2.4080668611789839</v>
      </c>
      <c r="I31" s="10">
        <v>2.2489870622433132</v>
      </c>
      <c r="J31" s="10">
        <v>2.0950572366156899</v>
      </c>
      <c r="K31" s="10">
        <v>2.0387558625117461</v>
      </c>
      <c r="L31" s="10">
        <v>2.4163130556496144</v>
      </c>
      <c r="M31" s="10">
        <v>2.2905481213166974</v>
      </c>
      <c r="N31" s="10">
        <v>1.9982045116791469</v>
      </c>
      <c r="O31" s="10">
        <v>2.3800186689525256</v>
      </c>
    </row>
    <row r="32" spans="1:15" ht="17.149999999999999" customHeight="1" x14ac:dyDescent="0.35">
      <c r="A32" s="13" t="s">
        <v>21</v>
      </c>
      <c r="B32" s="10">
        <v>0.36095685916297698</v>
      </c>
      <c r="C32" s="10">
        <v>0.29626667051401773</v>
      </c>
      <c r="D32" s="10">
        <v>0.2960175346138873</v>
      </c>
      <c r="E32" s="10">
        <v>0.31647486757258469</v>
      </c>
      <c r="F32" s="10">
        <v>0.34033846234831439</v>
      </c>
      <c r="G32" s="10">
        <v>0.42001900569654815</v>
      </c>
      <c r="H32" s="10">
        <v>0.48249605897767378</v>
      </c>
      <c r="I32" s="10">
        <v>0.46095427722237975</v>
      </c>
      <c r="J32" s="10">
        <v>0.43155552792213964</v>
      </c>
      <c r="K32" s="10">
        <v>0.4371240108689059</v>
      </c>
      <c r="L32" s="10">
        <v>0.50422738181646842</v>
      </c>
      <c r="M32" s="10">
        <v>0.45411693386399066</v>
      </c>
      <c r="N32" s="10">
        <v>0.38412261785811652</v>
      </c>
      <c r="O32" s="10">
        <v>0.46217177287057137</v>
      </c>
    </row>
    <row r="33" spans="1:15" ht="17.149999999999999" customHeight="1" x14ac:dyDescent="0.35">
      <c r="A33" s="13" t="s">
        <v>20</v>
      </c>
      <c r="B33" s="10">
        <v>0.52363867937345732</v>
      </c>
      <c r="C33" s="10">
        <v>0.41634342604181868</v>
      </c>
      <c r="D33" s="10">
        <v>0.41824275779343389</v>
      </c>
      <c r="E33" s="10">
        <v>0.44750691365709316</v>
      </c>
      <c r="F33" s="10">
        <v>0.50340900361238727</v>
      </c>
      <c r="G33" s="10">
        <v>0.59653289402798204</v>
      </c>
      <c r="H33" s="10">
        <v>0.61968996007234611</v>
      </c>
      <c r="I33" s="10">
        <v>0.59391393838156292</v>
      </c>
      <c r="J33" s="10">
        <v>0.5190847970310899</v>
      </c>
      <c r="K33" s="10">
        <v>0.5193804907704116</v>
      </c>
      <c r="L33" s="10">
        <v>0.55050968005925438</v>
      </c>
      <c r="M33" s="10">
        <v>0.48906369457467824</v>
      </c>
      <c r="N33" s="10">
        <v>0.45087788597293316</v>
      </c>
      <c r="O33" s="10">
        <v>0.53733749158978505</v>
      </c>
    </row>
    <row r="34" spans="1:15" ht="17.149999999999999" customHeight="1" x14ac:dyDescent="0.35">
      <c r="A34" s="14" t="s">
        <v>31</v>
      </c>
      <c r="B34" s="10">
        <v>10.466038135057609</v>
      </c>
      <c r="C34" s="10">
        <v>8.9148104037687244</v>
      </c>
      <c r="D34" s="10">
        <v>8.8339159026619694</v>
      </c>
      <c r="E34" s="10">
        <v>9.4243095990276924</v>
      </c>
      <c r="F34" s="10">
        <v>10.330195807619546</v>
      </c>
      <c r="G34" s="10">
        <v>11.790586093329338</v>
      </c>
      <c r="H34" s="10">
        <v>12.868393746389305</v>
      </c>
      <c r="I34" s="10">
        <v>12.274165752464539</v>
      </c>
      <c r="J34" s="10">
        <v>11.504504154743675</v>
      </c>
      <c r="K34" s="10">
        <v>11.698278758532709</v>
      </c>
      <c r="L34" s="10">
        <v>12.589713925814388</v>
      </c>
      <c r="M34" s="10">
        <v>11.485190740516204</v>
      </c>
      <c r="N34" s="10">
        <v>9.7936456523992916</v>
      </c>
      <c r="O34" s="10">
        <v>10.937549855561516</v>
      </c>
    </row>
    <row r="35" spans="1:15" ht="17.149999999999999" customHeight="1" x14ac:dyDescent="0.35">
      <c r="A35" s="6" t="s">
        <v>6</v>
      </c>
      <c r="B35" s="11">
        <v>100.00000000000004</v>
      </c>
      <c r="C35" s="11">
        <v>100.00000000000003</v>
      </c>
      <c r="D35" s="11">
        <v>100</v>
      </c>
      <c r="E35" s="11">
        <v>99.999999999999986</v>
      </c>
      <c r="F35" s="11">
        <v>99.999999999999986</v>
      </c>
      <c r="G35" s="11">
        <v>100</v>
      </c>
      <c r="H35" s="11">
        <v>100.00000000000003</v>
      </c>
      <c r="I35" s="11">
        <v>99.999999999999986</v>
      </c>
      <c r="J35" s="11">
        <v>100</v>
      </c>
      <c r="K35" s="11">
        <v>99.999999999999957</v>
      </c>
      <c r="L35" s="11">
        <v>100</v>
      </c>
      <c r="M35" s="11">
        <v>99.999999999999972</v>
      </c>
      <c r="N35" s="11">
        <v>99.999999999999972</v>
      </c>
      <c r="O35" s="11">
        <v>100.00000000000003</v>
      </c>
    </row>
    <row r="37" spans="1:15" ht="17.149999999999999" customHeight="1" x14ac:dyDescent="0.35">
      <c r="A37" s="2" t="s">
        <v>50</v>
      </c>
      <c r="B37" s="3"/>
      <c r="C37" s="3"/>
      <c r="D37" s="3"/>
      <c r="E37" s="3"/>
      <c r="F37" s="3"/>
      <c r="G37" s="3"/>
      <c r="H37" s="3"/>
      <c r="M37" s="34"/>
      <c r="N37" s="34"/>
      <c r="O37" s="34"/>
    </row>
    <row r="38" spans="1:15" ht="17.149999999999999" customHeight="1" x14ac:dyDescent="0.35">
      <c r="A38" s="2" t="s">
        <v>51</v>
      </c>
      <c r="B38" s="3"/>
      <c r="C38" s="3"/>
      <c r="D38" s="3"/>
      <c r="E38" s="3"/>
      <c r="F38" s="3"/>
      <c r="G38" s="3"/>
      <c r="H38" s="3"/>
    </row>
    <row r="39" spans="1:15" ht="17.149999999999999" customHeight="1" x14ac:dyDescent="0.35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</row>
    <row r="40" spans="1:15" ht="15.5" x14ac:dyDescent="0.35">
      <c r="A40" s="2" t="s">
        <v>52</v>
      </c>
      <c r="B40" s="35"/>
      <c r="C40" s="34"/>
      <c r="D40" s="35"/>
      <c r="E40" s="35"/>
      <c r="F40" s="34"/>
      <c r="G40" s="35"/>
      <c r="H40" s="35"/>
      <c r="I40" s="34"/>
      <c r="J40" s="34"/>
      <c r="K40" s="34"/>
      <c r="L40" s="34"/>
      <c r="M40" s="34"/>
      <c r="N40" s="34"/>
      <c r="O40" s="34"/>
    </row>
    <row r="41" spans="1:15" ht="15.5" x14ac:dyDescent="0.35">
      <c r="A41" s="2" t="s">
        <v>53</v>
      </c>
      <c r="B41" s="35"/>
      <c r="C41" s="34"/>
      <c r="D41" s="35"/>
      <c r="E41" s="35"/>
      <c r="F41" s="34"/>
      <c r="G41" s="35"/>
      <c r="H41" s="35"/>
      <c r="I41" s="34"/>
      <c r="J41" s="34"/>
      <c r="K41" s="34"/>
      <c r="L41" s="34"/>
      <c r="M41" s="34"/>
      <c r="N41" s="34"/>
      <c r="O41" s="34"/>
    </row>
    <row r="42" spans="1:15" ht="15.5" x14ac:dyDescent="0.35">
      <c r="A42" s="2" t="s">
        <v>54</v>
      </c>
    </row>
    <row r="45" spans="1:15" ht="17.149999999999999" customHeight="1" x14ac:dyDescent="0.35">
      <c r="B45" s="34">
        <f>B12+B13+B14+B15</f>
        <v>14.630813907857487</v>
      </c>
      <c r="C45" s="34">
        <f t="shared" ref="C45:O45" si="0">C12+C13+C14+C15</f>
        <v>16.174958891991157</v>
      </c>
      <c r="D45" s="34">
        <f t="shared" si="0"/>
        <v>16.362102685181309</v>
      </c>
      <c r="E45" s="34">
        <f t="shared" si="0"/>
        <v>16.182271352801958</v>
      </c>
      <c r="F45" s="34">
        <f t="shared" si="0"/>
        <v>15.882366699887402</v>
      </c>
      <c r="G45" s="34">
        <f t="shared" si="0"/>
        <v>14.257349316965479</v>
      </c>
      <c r="H45" s="34">
        <f t="shared" si="0"/>
        <v>11.294890239847954</v>
      </c>
      <c r="I45" s="34">
        <f t="shared" si="0"/>
        <v>12.451736337500201</v>
      </c>
      <c r="J45" s="34">
        <f t="shared" si="0"/>
        <v>13.844833594055949</v>
      </c>
      <c r="K45" s="34">
        <f t="shared" si="0"/>
        <v>13.377612763742299</v>
      </c>
      <c r="L45" s="34">
        <f t="shared" si="0"/>
        <v>15.490793755476012</v>
      </c>
      <c r="M45" s="34">
        <f t="shared" si="0"/>
        <v>18.225242150069761</v>
      </c>
      <c r="N45" s="34">
        <f t="shared" si="0"/>
        <v>21.78779811009829</v>
      </c>
      <c r="O45" s="34">
        <f t="shared" si="0"/>
        <v>18.297765105622553</v>
      </c>
    </row>
  </sheetData>
  <pageMargins left="0.25" right="0.25" top="0.75" bottom="0.75" header="0.3" footer="0.3"/>
  <pageSetup scale="74" orientation="landscape" r:id="rId1"/>
  <headerFooter>
    <oddFooter>&amp;LSource: Jabatan Perancangan dan Kemajuan Ekonomi (JPKE)&amp;C7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eb395c1-c26a-485a-a474-2edaaa77b21c">UTZWJRNMN37P-1071157593-5604</_dlc_DocId>
    <_dlc_DocIdUrl xmlns="3eb395c1-c26a-485a-a474-2edaaa77b21c">
      <Url>http://deps-mofe-pro.egc.gov.bn/_layouts/15/DocIdRedir.aspx?ID=UTZWJRNMN37P-1071157593-5604</Url>
      <Description>UTZWJRNMN37P-1071157593-5604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C2A1A9346624FA800A4A4C0DB185D" ma:contentTypeVersion="3" ma:contentTypeDescription="Create a new document." ma:contentTypeScope="" ma:versionID="a6332767b3d3f6549b4479a6223d4297">
  <xsd:schema xmlns:xsd="http://www.w3.org/2001/XMLSchema" xmlns:xs="http://www.w3.org/2001/XMLSchema" xmlns:p="http://schemas.microsoft.com/office/2006/metadata/properties" xmlns:ns2="3eb395c1-c26a-485a-a474-2edaaa77b21c" targetNamespace="http://schemas.microsoft.com/office/2006/metadata/properties" ma:root="true" ma:fieldsID="747e6fc1d77e8f10a3a1886d8f81f972" ns2:_="">
    <xsd:import namespace="3eb395c1-c26a-485a-a474-2edaaa77b21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395c1-c26a-485a-a474-2edaaa77b21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03954C43-BE6E-4F4F-B25D-244638260263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3eb395c1-c26a-485a-a474-2edaaa77b21c"/>
  </ds:schemaRefs>
</ds:datastoreItem>
</file>

<file path=customXml/itemProps2.xml><?xml version="1.0" encoding="utf-8"?>
<ds:datastoreItem xmlns:ds="http://schemas.openxmlformats.org/officeDocument/2006/customXml" ds:itemID="{83DC7595-8D5B-403E-B4BB-20E298D453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b395c1-c26a-485a-a474-2edaaa77b2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5AEDF7-4791-4D06-BD9F-EAFC3C11671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ECB7EB8-4A84-4F04-A966-67DFA4D511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own_calculation</vt:lpstr>
      <vt:lpstr>2000-2009</vt:lpstr>
      <vt:lpstr>1974-1999</vt:lpstr>
      <vt:lpstr>2010-2023</vt:lpstr>
    </vt:vector>
  </TitlesOfParts>
  <Company>E-Government National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JPES, MOFE</dc:creator>
  <cp:lastModifiedBy>Jakob Heibel</cp:lastModifiedBy>
  <dcterms:created xsi:type="dcterms:W3CDTF">2018-12-11T08:00:12Z</dcterms:created>
  <dcterms:modified xsi:type="dcterms:W3CDTF">2025-03-18T19:56:12Z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0x01010047EC2A1A9346624FA800A4A4C0DB185D</vt:lpwstr>
  </property>
  <property fmtid="{D5CDD505-2E9C-101B-9397-08002B2CF9AE}" pid="3" name="_dlc_DocIdItemGuid">
    <vt:lpwstr>c599fd41-f51d-41ff-b080-c0c2e9297392</vt:lpwstr>
  </property>
</Properties>
</file>